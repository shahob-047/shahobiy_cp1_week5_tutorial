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shhura\Downloads\Telegram Desktop\"/>
    </mc:Choice>
  </mc:AlternateContent>
  <xr:revisionPtr revIDLastSave="0" documentId="8_{2274083A-7153-479F-B50C-4C8AA885758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nversion Tables" sheetId="1" r:id="rId1"/>
    <sheet name="IELTS Resul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1" i="2" l="1"/>
  <c r="C201" i="2"/>
  <c r="E200" i="2"/>
  <c r="C200" i="2"/>
  <c r="H200" i="2" s="1"/>
  <c r="I200" i="2" s="1"/>
  <c r="E199" i="2"/>
  <c r="C199" i="2"/>
  <c r="E198" i="2"/>
  <c r="C198" i="2"/>
  <c r="E197" i="2"/>
  <c r="C197" i="2"/>
  <c r="E196" i="2"/>
  <c r="C196" i="2"/>
  <c r="E195" i="2"/>
  <c r="C195" i="2"/>
  <c r="E194" i="2"/>
  <c r="C194" i="2"/>
  <c r="E193" i="2"/>
  <c r="C193" i="2"/>
  <c r="E192" i="2"/>
  <c r="C192" i="2"/>
  <c r="H192" i="2" s="1"/>
  <c r="I192" i="2" s="1"/>
  <c r="E191" i="2"/>
  <c r="C191" i="2"/>
  <c r="E190" i="2"/>
  <c r="C190" i="2"/>
  <c r="E189" i="2"/>
  <c r="C189" i="2"/>
  <c r="E188" i="2"/>
  <c r="C188" i="2"/>
  <c r="E187" i="2"/>
  <c r="C187" i="2"/>
  <c r="E186" i="2"/>
  <c r="C186" i="2"/>
  <c r="E185" i="2"/>
  <c r="C185" i="2"/>
  <c r="E184" i="2"/>
  <c r="C184" i="2"/>
  <c r="H184" i="2" s="1"/>
  <c r="I184" i="2" s="1"/>
  <c r="E183" i="2"/>
  <c r="C183" i="2"/>
  <c r="E182" i="2"/>
  <c r="C182" i="2"/>
  <c r="H182" i="2" s="1"/>
  <c r="I182" i="2" s="1"/>
  <c r="E181" i="2"/>
  <c r="C181" i="2"/>
  <c r="E180" i="2"/>
  <c r="C180" i="2"/>
  <c r="E179" i="2"/>
  <c r="C179" i="2"/>
  <c r="E178" i="2"/>
  <c r="C178" i="2"/>
  <c r="E177" i="2"/>
  <c r="C177" i="2"/>
  <c r="E176" i="2"/>
  <c r="C176" i="2"/>
  <c r="E175" i="2"/>
  <c r="C175" i="2"/>
  <c r="E174" i="2"/>
  <c r="C174" i="2"/>
  <c r="E173" i="2"/>
  <c r="C173" i="2"/>
  <c r="E172" i="2"/>
  <c r="C172" i="2"/>
  <c r="E171" i="2"/>
  <c r="C171" i="2"/>
  <c r="E170" i="2"/>
  <c r="C170" i="2"/>
  <c r="E169" i="2"/>
  <c r="C169" i="2"/>
  <c r="E168" i="2"/>
  <c r="C168" i="2"/>
  <c r="E167" i="2"/>
  <c r="C167" i="2"/>
  <c r="E166" i="2"/>
  <c r="C166" i="2"/>
  <c r="E165" i="2"/>
  <c r="C165" i="2"/>
  <c r="E164" i="2"/>
  <c r="C164" i="2"/>
  <c r="E163" i="2"/>
  <c r="C163" i="2"/>
  <c r="E162" i="2"/>
  <c r="C162" i="2"/>
  <c r="E161" i="2"/>
  <c r="C161" i="2"/>
  <c r="E160" i="2"/>
  <c r="C160" i="2"/>
  <c r="E159" i="2"/>
  <c r="C159" i="2"/>
  <c r="E158" i="2"/>
  <c r="C158" i="2"/>
  <c r="E157" i="2"/>
  <c r="C157" i="2"/>
  <c r="E156" i="2"/>
  <c r="C156" i="2"/>
  <c r="E155" i="2"/>
  <c r="C155" i="2"/>
  <c r="E154" i="2"/>
  <c r="C154" i="2"/>
  <c r="E153" i="2"/>
  <c r="C153" i="2"/>
  <c r="E152" i="2"/>
  <c r="C152" i="2"/>
  <c r="H152" i="2" s="1"/>
  <c r="I152" i="2" s="1"/>
  <c r="E151" i="2"/>
  <c r="C151" i="2"/>
  <c r="E150" i="2"/>
  <c r="C150" i="2"/>
  <c r="E149" i="2"/>
  <c r="C149" i="2"/>
  <c r="E148" i="2"/>
  <c r="C148" i="2"/>
  <c r="E147" i="2"/>
  <c r="C147" i="2"/>
  <c r="E146" i="2"/>
  <c r="C146" i="2"/>
  <c r="E145" i="2"/>
  <c r="C145" i="2"/>
  <c r="E144" i="2"/>
  <c r="C144" i="2"/>
  <c r="E143" i="2"/>
  <c r="C143" i="2"/>
  <c r="E142" i="2"/>
  <c r="C142" i="2"/>
  <c r="E141" i="2"/>
  <c r="C141" i="2"/>
  <c r="E140" i="2"/>
  <c r="C140" i="2"/>
  <c r="E139" i="2"/>
  <c r="C139" i="2"/>
  <c r="E138" i="2"/>
  <c r="C138" i="2"/>
  <c r="E137" i="2"/>
  <c r="C137" i="2"/>
  <c r="E136" i="2"/>
  <c r="C136" i="2"/>
  <c r="H136" i="2" s="1"/>
  <c r="I136" i="2" s="1"/>
  <c r="E135" i="2"/>
  <c r="C135" i="2"/>
  <c r="E134" i="2"/>
  <c r="C134" i="2"/>
  <c r="E133" i="2"/>
  <c r="C133" i="2"/>
  <c r="E132" i="2"/>
  <c r="C132" i="2"/>
  <c r="E131" i="2"/>
  <c r="C131" i="2"/>
  <c r="E130" i="2"/>
  <c r="C130" i="2"/>
  <c r="E129" i="2"/>
  <c r="C129" i="2"/>
  <c r="E128" i="2"/>
  <c r="C128" i="2"/>
  <c r="E127" i="2"/>
  <c r="C127" i="2"/>
  <c r="E126" i="2"/>
  <c r="C126" i="2"/>
  <c r="E125" i="2"/>
  <c r="C125" i="2"/>
  <c r="E124" i="2"/>
  <c r="C124" i="2"/>
  <c r="E123" i="2"/>
  <c r="C123" i="2"/>
  <c r="E122" i="2"/>
  <c r="C122" i="2"/>
  <c r="E121" i="2"/>
  <c r="C121" i="2"/>
  <c r="E120" i="2"/>
  <c r="C120" i="2"/>
  <c r="E119" i="2"/>
  <c r="C119" i="2"/>
  <c r="E118" i="2"/>
  <c r="C118" i="2"/>
  <c r="E117" i="2"/>
  <c r="C117" i="2"/>
  <c r="E116" i="2"/>
  <c r="C116" i="2"/>
  <c r="E115" i="2"/>
  <c r="C115" i="2"/>
  <c r="E114" i="2"/>
  <c r="C114" i="2"/>
  <c r="E113" i="2"/>
  <c r="C113" i="2"/>
  <c r="E112" i="2"/>
  <c r="C112" i="2"/>
  <c r="E111" i="2"/>
  <c r="C111" i="2"/>
  <c r="H111" i="2" s="1"/>
  <c r="I111" i="2" s="1"/>
  <c r="E110" i="2"/>
  <c r="C110" i="2"/>
  <c r="E109" i="2"/>
  <c r="C109" i="2"/>
  <c r="E108" i="2"/>
  <c r="C108" i="2"/>
  <c r="E107" i="2"/>
  <c r="C107" i="2"/>
  <c r="E106" i="2"/>
  <c r="C106" i="2"/>
  <c r="E105" i="2"/>
  <c r="C105" i="2"/>
  <c r="E104" i="2"/>
  <c r="C104" i="2"/>
  <c r="E103" i="2"/>
  <c r="C103" i="2"/>
  <c r="E102" i="2"/>
  <c r="C102" i="2"/>
  <c r="E101" i="2"/>
  <c r="C101" i="2"/>
  <c r="E100" i="2"/>
  <c r="C100" i="2"/>
  <c r="E99" i="2"/>
  <c r="C99" i="2"/>
  <c r="E98" i="2"/>
  <c r="C98" i="2"/>
  <c r="E97" i="2"/>
  <c r="C97" i="2"/>
  <c r="E96" i="2"/>
  <c r="C96" i="2"/>
  <c r="E95" i="2"/>
  <c r="C95" i="2"/>
  <c r="E94" i="2"/>
  <c r="C94" i="2"/>
  <c r="E93" i="2"/>
  <c r="C93" i="2"/>
  <c r="E92" i="2"/>
  <c r="C92" i="2"/>
  <c r="E91" i="2"/>
  <c r="C91" i="2"/>
  <c r="E90" i="2"/>
  <c r="C90" i="2"/>
  <c r="E89" i="2"/>
  <c r="C89" i="2"/>
  <c r="E88" i="2"/>
  <c r="C88" i="2"/>
  <c r="E87" i="2"/>
  <c r="C87" i="2"/>
  <c r="E86" i="2"/>
  <c r="C86" i="2"/>
  <c r="E85" i="2"/>
  <c r="C85" i="2"/>
  <c r="E84" i="2"/>
  <c r="C84" i="2"/>
  <c r="E83" i="2"/>
  <c r="C83" i="2"/>
  <c r="E82" i="2"/>
  <c r="C82" i="2"/>
  <c r="E81" i="2"/>
  <c r="C81" i="2"/>
  <c r="E80" i="2"/>
  <c r="C80" i="2"/>
  <c r="E79" i="2"/>
  <c r="C79" i="2"/>
  <c r="E78" i="2"/>
  <c r="C78" i="2"/>
  <c r="E77" i="2"/>
  <c r="C77" i="2"/>
  <c r="E76" i="2"/>
  <c r="C76" i="2"/>
  <c r="E75" i="2"/>
  <c r="C75" i="2"/>
  <c r="E74" i="2"/>
  <c r="C74" i="2"/>
  <c r="E73" i="2"/>
  <c r="C73" i="2"/>
  <c r="E72" i="2"/>
  <c r="C72" i="2"/>
  <c r="E71" i="2"/>
  <c r="C71" i="2"/>
  <c r="E70" i="2"/>
  <c r="C70" i="2"/>
  <c r="E69" i="2"/>
  <c r="C69" i="2"/>
  <c r="E68" i="2"/>
  <c r="C68" i="2"/>
  <c r="E67" i="2"/>
  <c r="C67" i="2"/>
  <c r="E66" i="2"/>
  <c r="C66" i="2"/>
  <c r="E65" i="2"/>
  <c r="C65" i="2"/>
  <c r="E64" i="2"/>
  <c r="C64" i="2"/>
  <c r="E63" i="2"/>
  <c r="C63" i="2"/>
  <c r="E62" i="2"/>
  <c r="C62" i="2"/>
  <c r="E61" i="2"/>
  <c r="C61" i="2"/>
  <c r="E60" i="2"/>
  <c r="C60" i="2"/>
  <c r="E59" i="2"/>
  <c r="C59" i="2"/>
  <c r="E58" i="2"/>
  <c r="C58" i="2"/>
  <c r="E57" i="2"/>
  <c r="C57" i="2"/>
  <c r="E56" i="2"/>
  <c r="C56" i="2"/>
  <c r="E55" i="2"/>
  <c r="C55" i="2"/>
  <c r="E54" i="2"/>
  <c r="C54" i="2"/>
  <c r="E53" i="2"/>
  <c r="C53" i="2"/>
  <c r="E52" i="2"/>
  <c r="C52" i="2"/>
  <c r="E51" i="2"/>
  <c r="C51" i="2"/>
  <c r="E50" i="2"/>
  <c r="C50" i="2"/>
  <c r="E49" i="2"/>
  <c r="C49" i="2"/>
  <c r="E48" i="2"/>
  <c r="C48" i="2"/>
  <c r="E47" i="2"/>
  <c r="C47" i="2"/>
  <c r="E46" i="2"/>
  <c r="C46" i="2"/>
  <c r="E45" i="2"/>
  <c r="C45" i="2"/>
  <c r="E44" i="2"/>
  <c r="C44" i="2"/>
  <c r="E43" i="2"/>
  <c r="C43" i="2"/>
  <c r="E42" i="2"/>
  <c r="C42" i="2"/>
  <c r="E41" i="2"/>
  <c r="C41" i="2"/>
  <c r="E40" i="2"/>
  <c r="C40" i="2"/>
  <c r="E39" i="2"/>
  <c r="C39" i="2"/>
  <c r="E38" i="2"/>
  <c r="C38" i="2"/>
  <c r="E37" i="2"/>
  <c r="C37" i="2"/>
  <c r="E36" i="2"/>
  <c r="C36" i="2"/>
  <c r="E35" i="2"/>
  <c r="C35" i="2"/>
  <c r="E34" i="2"/>
  <c r="C34" i="2"/>
  <c r="E33" i="2"/>
  <c r="C33" i="2"/>
  <c r="E32" i="2"/>
  <c r="C32" i="2"/>
  <c r="E31" i="2"/>
  <c r="C31" i="2"/>
  <c r="E30" i="2"/>
  <c r="C30" i="2"/>
  <c r="E29" i="2"/>
  <c r="C29" i="2"/>
  <c r="E28" i="2"/>
  <c r="C28" i="2"/>
  <c r="E27" i="2"/>
  <c r="C27" i="2"/>
  <c r="E26" i="2"/>
  <c r="C26" i="2"/>
  <c r="E25" i="2"/>
  <c r="C25" i="2"/>
  <c r="E24" i="2"/>
  <c r="C24" i="2"/>
  <c r="E23" i="2"/>
  <c r="C23" i="2"/>
  <c r="E22" i="2"/>
  <c r="C22" i="2"/>
  <c r="E21" i="2"/>
  <c r="C21" i="2"/>
  <c r="E20" i="2"/>
  <c r="C20" i="2"/>
  <c r="E19" i="2"/>
  <c r="C19" i="2"/>
  <c r="E18" i="2"/>
  <c r="C18" i="2"/>
  <c r="E17" i="2"/>
  <c r="C17" i="2"/>
  <c r="E16" i="2"/>
  <c r="C16" i="2"/>
  <c r="E15" i="2"/>
  <c r="C15" i="2"/>
  <c r="E14" i="2"/>
  <c r="C14" i="2"/>
  <c r="E13" i="2"/>
  <c r="C13" i="2"/>
  <c r="E12" i="2"/>
  <c r="C12" i="2"/>
  <c r="E11" i="2"/>
  <c r="C11" i="2"/>
  <c r="E10" i="2"/>
  <c r="C10" i="2"/>
  <c r="E9" i="2"/>
  <c r="C9" i="2"/>
  <c r="E8" i="2"/>
  <c r="C8" i="2"/>
  <c r="E7" i="2"/>
  <c r="C7" i="2"/>
  <c r="E6" i="2"/>
  <c r="C6" i="2"/>
  <c r="E5" i="2"/>
  <c r="E4" i="2"/>
  <c r="C4" i="2"/>
  <c r="E3" i="2"/>
  <c r="C3" i="2"/>
  <c r="E2" i="2"/>
  <c r="H34" i="2" l="1"/>
  <c r="I34" i="2" s="1"/>
  <c r="H46" i="2"/>
  <c r="I46" i="2" s="1"/>
  <c r="H50" i="2"/>
  <c r="I50" i="2" s="1"/>
  <c r="H62" i="2"/>
  <c r="I62" i="2" s="1"/>
  <c r="H70" i="2"/>
  <c r="I70" i="2" s="1"/>
  <c r="H82" i="2"/>
  <c r="I82" i="2" s="1"/>
  <c r="H86" i="2"/>
  <c r="I86" i="2" s="1"/>
  <c r="H98" i="2"/>
  <c r="I98" i="2" s="1"/>
  <c r="H110" i="2"/>
  <c r="I110" i="2" s="1"/>
  <c r="H118" i="2"/>
  <c r="I118" i="2" s="1"/>
  <c r="H126" i="2"/>
  <c r="I126" i="2" s="1"/>
  <c r="H134" i="2"/>
  <c r="I134" i="2" s="1"/>
  <c r="H142" i="2"/>
  <c r="I142" i="2" s="1"/>
  <c r="H150" i="2"/>
  <c r="I150" i="2" s="1"/>
  <c r="H158" i="2"/>
  <c r="I158" i="2" s="1"/>
  <c r="H162" i="2"/>
  <c r="I162" i="2" s="1"/>
  <c r="H174" i="2"/>
  <c r="I174" i="2" s="1"/>
  <c r="H178" i="2"/>
  <c r="I178" i="2" s="1"/>
  <c r="H190" i="2"/>
  <c r="I190" i="2" s="1"/>
  <c r="H198" i="2"/>
  <c r="I198" i="2" s="1"/>
  <c r="H59" i="2"/>
  <c r="I59" i="2" s="1"/>
  <c r="H83" i="2"/>
  <c r="I83" i="2" s="1"/>
  <c r="H99" i="2"/>
  <c r="I99" i="2" s="1"/>
  <c r="H115" i="2"/>
  <c r="I115" i="2" s="1"/>
  <c r="H123" i="2"/>
  <c r="I123" i="2" s="1"/>
  <c r="H131" i="2"/>
  <c r="I131" i="2" s="1"/>
  <c r="H139" i="2"/>
  <c r="I139" i="2" s="1"/>
  <c r="H147" i="2"/>
  <c r="I147" i="2" s="1"/>
  <c r="H155" i="2"/>
  <c r="I155" i="2" s="1"/>
  <c r="H163" i="2"/>
  <c r="I163" i="2" s="1"/>
  <c r="H167" i="2"/>
  <c r="I167" i="2" s="1"/>
  <c r="H175" i="2"/>
  <c r="I175" i="2" s="1"/>
  <c r="H179" i="2"/>
  <c r="I179" i="2" s="1"/>
  <c r="H183" i="2"/>
  <c r="I183" i="2" s="1"/>
  <c r="H187" i="2"/>
  <c r="I187" i="2" s="1"/>
  <c r="H191" i="2"/>
  <c r="I191" i="2" s="1"/>
  <c r="H199" i="2"/>
  <c r="I199" i="2" s="1"/>
  <c r="H36" i="2"/>
  <c r="I36" i="2" s="1"/>
  <c r="H52" i="2"/>
  <c r="I52" i="2" s="1"/>
  <c r="H84" i="2"/>
  <c r="I84" i="2" s="1"/>
  <c r="H92" i="2"/>
  <c r="I92" i="2" s="1"/>
  <c r="H108" i="2"/>
  <c r="I108" i="2" s="1"/>
  <c r="H116" i="2"/>
  <c r="I116" i="2" s="1"/>
  <c r="H196" i="2"/>
  <c r="I196" i="2" s="1"/>
  <c r="H38" i="2"/>
  <c r="I38" i="2" s="1"/>
  <c r="H54" i="2"/>
  <c r="I54" i="2" s="1"/>
  <c r="H66" i="2"/>
  <c r="I66" i="2" s="1"/>
  <c r="H78" i="2"/>
  <c r="I78" i="2" s="1"/>
  <c r="H94" i="2"/>
  <c r="I94" i="2" s="1"/>
  <c r="H102" i="2"/>
  <c r="I102" i="2" s="1"/>
  <c r="H114" i="2"/>
  <c r="I114" i="2" s="1"/>
  <c r="H130" i="2"/>
  <c r="I130" i="2" s="1"/>
  <c r="H146" i="2"/>
  <c r="I146" i="2" s="1"/>
  <c r="H43" i="2"/>
  <c r="I43" i="2" s="1"/>
  <c r="H75" i="2"/>
  <c r="I75" i="2" s="1"/>
  <c r="H91" i="2"/>
  <c r="I91" i="2" s="1"/>
  <c r="H107" i="2"/>
  <c r="I107" i="2" s="1"/>
  <c r="H127" i="2"/>
  <c r="I127" i="2" s="1"/>
  <c r="H135" i="2"/>
  <c r="I135" i="2" s="1"/>
  <c r="H143" i="2"/>
  <c r="I143" i="2" s="1"/>
  <c r="H151" i="2"/>
  <c r="I151" i="2" s="1"/>
  <c r="H159" i="2"/>
  <c r="I159" i="2" s="1"/>
  <c r="H171" i="2"/>
  <c r="I171" i="2" s="1"/>
  <c r="H195" i="2"/>
  <c r="I195" i="2" s="1"/>
  <c r="H68" i="2"/>
  <c r="I68" i="2" s="1"/>
  <c r="H76" i="2"/>
  <c r="I76" i="2" s="1"/>
  <c r="H100" i="2"/>
  <c r="I100" i="2" s="1"/>
  <c r="H124" i="2"/>
  <c r="I124" i="2" s="1"/>
  <c r="H132" i="2"/>
  <c r="I132" i="2" s="1"/>
  <c r="H140" i="2"/>
  <c r="I140" i="2" s="1"/>
  <c r="H148" i="2"/>
  <c r="I148" i="2" s="1"/>
  <c r="H156" i="2"/>
  <c r="I156" i="2" s="1"/>
  <c r="H164" i="2"/>
  <c r="I164" i="2" s="1"/>
  <c r="H172" i="2"/>
  <c r="I172" i="2" s="1"/>
  <c r="H180" i="2"/>
  <c r="I180" i="2" s="1"/>
  <c r="H188" i="2"/>
  <c r="I188" i="2" s="1"/>
  <c r="H37" i="2"/>
  <c r="I37" i="2" s="1"/>
  <c r="H41" i="2"/>
  <c r="I41" i="2" s="1"/>
  <c r="H45" i="2"/>
  <c r="I45" i="2" s="1"/>
  <c r="H53" i="2"/>
  <c r="I53" i="2" s="1"/>
  <c r="H57" i="2"/>
  <c r="I57" i="2" s="1"/>
  <c r="H61" i="2"/>
  <c r="I61" i="2" s="1"/>
  <c r="H69" i="2"/>
  <c r="I69" i="2" s="1"/>
  <c r="H73" i="2"/>
  <c r="I73" i="2" s="1"/>
  <c r="H77" i="2"/>
  <c r="I77" i="2" s="1"/>
  <c r="H85" i="2"/>
  <c r="I85" i="2" s="1"/>
  <c r="H89" i="2"/>
  <c r="I89" i="2" s="1"/>
  <c r="H93" i="2"/>
  <c r="I93" i="2" s="1"/>
  <c r="H101" i="2"/>
  <c r="I101" i="2" s="1"/>
  <c r="H105" i="2"/>
  <c r="I105" i="2" s="1"/>
  <c r="H109" i="2"/>
  <c r="I109" i="2" s="1"/>
  <c r="H117" i="2"/>
  <c r="I117" i="2" s="1"/>
  <c r="H121" i="2"/>
  <c r="I121" i="2" s="1"/>
  <c r="H125" i="2"/>
  <c r="I125" i="2" s="1"/>
  <c r="H129" i="2"/>
  <c r="I129" i="2" s="1"/>
  <c r="H133" i="2"/>
  <c r="I133" i="2" s="1"/>
  <c r="H137" i="2"/>
  <c r="I137" i="2" s="1"/>
  <c r="H141" i="2"/>
  <c r="I141" i="2" s="1"/>
  <c r="H145" i="2"/>
  <c r="I145" i="2" s="1"/>
  <c r="H149" i="2"/>
  <c r="I149" i="2" s="1"/>
  <c r="H153" i="2"/>
  <c r="I153" i="2" s="1"/>
  <c r="H157" i="2"/>
  <c r="I157" i="2" s="1"/>
  <c r="H161" i="2"/>
  <c r="I161" i="2" s="1"/>
  <c r="H165" i="2"/>
  <c r="I165" i="2" s="1"/>
  <c r="H169" i="2"/>
  <c r="I169" i="2" s="1"/>
  <c r="H173" i="2"/>
  <c r="I173" i="2" s="1"/>
  <c r="H177" i="2"/>
  <c r="I177" i="2" s="1"/>
  <c r="H181" i="2"/>
  <c r="I181" i="2" s="1"/>
  <c r="H185" i="2"/>
  <c r="I185" i="2" s="1"/>
  <c r="H189" i="2"/>
  <c r="I189" i="2" s="1"/>
  <c r="H193" i="2"/>
  <c r="I193" i="2" s="1"/>
  <c r="H197" i="2"/>
  <c r="I197" i="2" s="1"/>
  <c r="H201" i="2"/>
  <c r="I201" i="2" s="1"/>
  <c r="H65" i="2"/>
  <c r="I65" i="2" s="1"/>
  <c r="H81" i="2"/>
  <c r="I81" i="2" s="1"/>
  <c r="H42" i="2"/>
  <c r="I42" i="2" s="1"/>
  <c r="H106" i="2"/>
  <c r="I106" i="2" s="1"/>
  <c r="H122" i="2"/>
  <c r="I122" i="2" s="1"/>
  <c r="H39" i="2"/>
  <c r="I39" i="2" s="1"/>
  <c r="H55" i="2"/>
  <c r="I55" i="2" s="1"/>
  <c r="H79" i="2"/>
  <c r="I79" i="2" s="1"/>
  <c r="H95" i="2"/>
  <c r="I95" i="2" s="1"/>
  <c r="H72" i="2"/>
  <c r="I72" i="2" s="1"/>
  <c r="H88" i="2"/>
  <c r="I88" i="2" s="1"/>
  <c r="H104" i="2"/>
  <c r="I104" i="2" s="1"/>
  <c r="H4" i="2"/>
  <c r="I4" i="2" s="1"/>
  <c r="H8" i="2"/>
  <c r="I8" i="2" s="1"/>
  <c r="H12" i="2"/>
  <c r="I12" i="2" s="1"/>
  <c r="H16" i="2"/>
  <c r="I16" i="2" s="1"/>
  <c r="H20" i="2"/>
  <c r="I20" i="2" s="1"/>
  <c r="H24" i="2"/>
  <c r="I24" i="2" s="1"/>
  <c r="H28" i="2"/>
  <c r="I28" i="2" s="1"/>
  <c r="H32" i="2"/>
  <c r="I32" i="2" s="1"/>
  <c r="H40" i="2"/>
  <c r="I40" i="2" s="1"/>
  <c r="H44" i="2"/>
  <c r="I44" i="2" s="1"/>
  <c r="H48" i="2"/>
  <c r="I48" i="2" s="1"/>
  <c r="H63" i="2"/>
  <c r="I63" i="2" s="1"/>
  <c r="H67" i="2"/>
  <c r="I67" i="2" s="1"/>
  <c r="H112" i="2"/>
  <c r="I112" i="2" s="1"/>
  <c r="H168" i="2"/>
  <c r="I168" i="2" s="1"/>
  <c r="H186" i="2"/>
  <c r="I186" i="2" s="1"/>
  <c r="H56" i="2"/>
  <c r="I56" i="2" s="1"/>
  <c r="H60" i="2"/>
  <c r="I60" i="2" s="1"/>
  <c r="H71" i="2"/>
  <c r="I71" i="2" s="1"/>
  <c r="H120" i="2"/>
  <c r="I120" i="2" s="1"/>
  <c r="H176" i="2"/>
  <c r="I176" i="2" s="1"/>
  <c r="H194" i="2"/>
  <c r="I194" i="2" s="1"/>
  <c r="H5" i="2"/>
  <c r="I5" i="2" s="1"/>
  <c r="H9" i="2"/>
  <c r="I9" i="2" s="1"/>
  <c r="H13" i="2"/>
  <c r="I13" i="2" s="1"/>
  <c r="H17" i="2"/>
  <c r="I17" i="2" s="1"/>
  <c r="H21" i="2"/>
  <c r="I21" i="2" s="1"/>
  <c r="H25" i="2"/>
  <c r="I25" i="2" s="1"/>
  <c r="H29" i="2"/>
  <c r="I29" i="2" s="1"/>
  <c r="H33" i="2"/>
  <c r="I33" i="2" s="1"/>
  <c r="H49" i="2"/>
  <c r="I49" i="2" s="1"/>
  <c r="H90" i="2"/>
  <c r="I90" i="2" s="1"/>
  <c r="H128" i="2"/>
  <c r="I128" i="2" s="1"/>
  <c r="H2" i="2"/>
  <c r="I2" i="2" s="1"/>
  <c r="H6" i="2"/>
  <c r="I6" i="2" s="1"/>
  <c r="H10" i="2"/>
  <c r="I10" i="2" s="1"/>
  <c r="H14" i="2"/>
  <c r="I14" i="2" s="1"/>
  <c r="H18" i="2"/>
  <c r="I18" i="2" s="1"/>
  <c r="H22" i="2"/>
  <c r="I22" i="2" s="1"/>
  <c r="H26" i="2"/>
  <c r="I26" i="2" s="1"/>
  <c r="H30" i="2"/>
  <c r="I30" i="2" s="1"/>
  <c r="H96" i="2"/>
  <c r="I96" i="2" s="1"/>
  <c r="H138" i="2"/>
  <c r="I138" i="2" s="1"/>
  <c r="H47" i="2"/>
  <c r="I47" i="2" s="1"/>
  <c r="H51" i="2"/>
  <c r="I51" i="2" s="1"/>
  <c r="H74" i="2"/>
  <c r="I74" i="2" s="1"/>
  <c r="H80" i="2"/>
  <c r="I80" i="2" s="1"/>
  <c r="H103" i="2"/>
  <c r="I103" i="2" s="1"/>
  <c r="H113" i="2"/>
  <c r="I113" i="2" s="1"/>
  <c r="H119" i="2"/>
  <c r="I119" i="2" s="1"/>
  <c r="H144" i="2"/>
  <c r="I144" i="2" s="1"/>
  <c r="H154" i="2"/>
  <c r="I154" i="2" s="1"/>
  <c r="H166" i="2"/>
  <c r="I166" i="2" s="1"/>
  <c r="H3" i="2"/>
  <c r="I3" i="2" s="1"/>
  <c r="H7" i="2"/>
  <c r="I7" i="2" s="1"/>
  <c r="H11" i="2"/>
  <c r="I11" i="2" s="1"/>
  <c r="H15" i="2"/>
  <c r="I15" i="2" s="1"/>
  <c r="H19" i="2"/>
  <c r="I19" i="2" s="1"/>
  <c r="H23" i="2"/>
  <c r="I23" i="2" s="1"/>
  <c r="H27" i="2"/>
  <c r="I27" i="2" s="1"/>
  <c r="H31" i="2"/>
  <c r="I31" i="2" s="1"/>
  <c r="H35" i="2"/>
  <c r="I35" i="2" s="1"/>
  <c r="H58" i="2"/>
  <c r="I58" i="2" s="1"/>
  <c r="H64" i="2"/>
  <c r="I64" i="2" s="1"/>
  <c r="H87" i="2"/>
  <c r="I87" i="2" s="1"/>
  <c r="H97" i="2"/>
  <c r="I97" i="2" s="1"/>
  <c r="H160" i="2"/>
  <c r="I160" i="2" s="1"/>
  <c r="H170" i="2"/>
  <c r="I170" i="2" s="1"/>
</calcChain>
</file>

<file path=xl/sharedStrings.xml><?xml version="1.0" encoding="utf-8"?>
<sst xmlns="http://schemas.openxmlformats.org/spreadsheetml/2006/main" count="36" uniqueCount="34">
  <si>
    <t>Listening raw (min correct)</t>
  </si>
  <si>
    <t>Listening band</t>
  </si>
  <si>
    <t>Reading raw (min correct) (AC)</t>
  </si>
  <si>
    <t>Reading band (AC)</t>
  </si>
  <si>
    <t>O'quvchi ismi</t>
  </si>
  <si>
    <t>Reading (to'g'ri javoblar)</t>
  </si>
  <si>
    <t>Reading band (ball)</t>
  </si>
  <si>
    <t>Listening (to'g'ri javoblar)</t>
  </si>
  <si>
    <t>Listening band (ball)</t>
  </si>
  <si>
    <t>Writing band</t>
  </si>
  <si>
    <t>Speaking band</t>
  </si>
  <si>
    <t>Overall score</t>
  </si>
  <si>
    <t>Coin</t>
  </si>
  <si>
    <t>Zayirova Amina</t>
  </si>
  <si>
    <t>Nozila</t>
  </si>
  <si>
    <t>Ruxshona</t>
  </si>
  <si>
    <t>Dilnoza Xushboqova</t>
  </si>
  <si>
    <t>Suyunova Mohinur</t>
  </si>
  <si>
    <t>Munisa</t>
  </si>
  <si>
    <t>Qo’zimurodova Sabrina</t>
  </si>
  <si>
    <t>Safarova Fotima</t>
  </si>
  <si>
    <t>Baxriddinov Baxtiyor</t>
  </si>
  <si>
    <t>Nurullayev Doston</t>
  </si>
  <si>
    <t>Umarov Sharof</t>
  </si>
  <si>
    <t>Yusufov Islombek</t>
  </si>
  <si>
    <t>Musurmonov Asilbek</t>
  </si>
  <si>
    <t>Ahmad Vohidov</t>
  </si>
  <si>
    <t>Mamanov Islom</t>
  </si>
  <si>
    <t>N/A</t>
  </si>
  <si>
    <t>Alimardonova Fotima</t>
  </si>
  <si>
    <t>Tohirova Ruxshona</t>
  </si>
  <si>
    <t>Abdurahimova Farida</t>
  </si>
  <si>
    <t>Odilova Shabnam</t>
  </si>
  <si>
    <t>Sultonova Nodira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</si>
</sst>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rgb="FF000000"/>
      <name val="Helvetica Neue"/>
    </font>
    <font>
      <sz val="11"/>
      <color rgb="FF000000"/>
      <name val="Helvetica Neue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ED001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2" xfId="0" applyFont="1" applyBorder="1"/>
    <xf numFmtId="0" fontId="3" fillId="3" borderId="2" xfId="0" applyFont="1" applyFill="1" applyBorder="1"/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/>
    <xf numFmtId="0" fontId="2" fillId="4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2" xfId="0" applyFont="1" applyFill="1" applyBorder="1"/>
    <xf numFmtId="0" fontId="2" fillId="5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workbookViewId="0">
      <selection activeCell="A37" sqref="A37"/>
    </sheetView>
  </sheetViews>
  <sheetFormatPr defaultRowHeight="14.4"/>
  <cols>
    <col min="1" max="2" width="14" customWidth="1"/>
  </cols>
  <sheetData>
    <row r="1" spans="1:2" ht="15.6">
      <c r="A1" s="1" t="s">
        <v>0</v>
      </c>
      <c r="B1" s="1" t="s">
        <v>1</v>
      </c>
    </row>
    <row r="2" spans="1:2">
      <c r="A2" s="2">
        <v>0</v>
      </c>
      <c r="B2" s="2">
        <v>0</v>
      </c>
    </row>
    <row r="3" spans="1:2">
      <c r="A3" s="2">
        <v>2</v>
      </c>
      <c r="B3" s="2">
        <v>1.5</v>
      </c>
    </row>
    <row r="4" spans="1:2">
      <c r="A4" s="2">
        <v>4</v>
      </c>
      <c r="B4" s="2">
        <v>2</v>
      </c>
    </row>
    <row r="5" spans="1:2">
      <c r="A5" s="2">
        <v>6</v>
      </c>
      <c r="B5" s="2">
        <v>2.5</v>
      </c>
    </row>
    <row r="6" spans="1:2">
      <c r="A6" s="2">
        <v>8</v>
      </c>
      <c r="B6" s="2">
        <v>3.5</v>
      </c>
    </row>
    <row r="7" spans="1:2">
      <c r="A7" s="2">
        <v>10</v>
      </c>
      <c r="B7" s="2">
        <v>4</v>
      </c>
    </row>
    <row r="8" spans="1:2">
      <c r="A8" s="2">
        <v>13</v>
      </c>
      <c r="B8" s="2">
        <v>4.5</v>
      </c>
    </row>
    <row r="9" spans="1:2">
      <c r="A9" s="2">
        <v>14</v>
      </c>
      <c r="B9" s="2">
        <v>4.5</v>
      </c>
    </row>
    <row r="10" spans="1:2">
      <c r="A10" s="2">
        <v>16</v>
      </c>
      <c r="B10" s="2">
        <v>5</v>
      </c>
    </row>
    <row r="11" spans="1:2">
      <c r="A11" s="2">
        <v>18</v>
      </c>
      <c r="B11" s="2">
        <v>5.5</v>
      </c>
    </row>
    <row r="12" spans="1:2">
      <c r="A12" s="2">
        <v>23</v>
      </c>
      <c r="B12" s="2">
        <v>6</v>
      </c>
    </row>
    <row r="13" spans="1:2">
      <c r="A13" s="2">
        <v>26</v>
      </c>
      <c r="B13" s="2">
        <v>6.5</v>
      </c>
    </row>
    <row r="14" spans="1:2">
      <c r="A14" s="2">
        <v>30</v>
      </c>
      <c r="B14" s="2">
        <v>7</v>
      </c>
    </row>
    <row r="15" spans="1:2">
      <c r="A15" s="2">
        <v>32</v>
      </c>
      <c r="B15" s="2">
        <v>7.5</v>
      </c>
    </row>
    <row r="16" spans="1:2">
      <c r="A16" s="2">
        <v>35</v>
      </c>
      <c r="B16" s="2">
        <v>8</v>
      </c>
    </row>
    <row r="17" spans="1:2">
      <c r="A17" s="2">
        <v>37</v>
      </c>
      <c r="B17" s="2">
        <v>8.5</v>
      </c>
    </row>
    <row r="18" spans="1:2">
      <c r="A18" s="2">
        <v>39</v>
      </c>
      <c r="B18" s="2">
        <v>9</v>
      </c>
    </row>
    <row r="19" spans="1:2">
      <c r="A19" s="2"/>
      <c r="B19" s="2"/>
    </row>
    <row r="20" spans="1:2">
      <c r="A20" s="2" t="s">
        <v>2</v>
      </c>
      <c r="B20" s="2" t="s">
        <v>3</v>
      </c>
    </row>
    <row r="21" spans="1:2">
      <c r="A21" s="2">
        <v>0</v>
      </c>
      <c r="B21" s="2">
        <v>0</v>
      </c>
    </row>
    <row r="22" spans="1:2">
      <c r="A22" s="2">
        <v>2</v>
      </c>
      <c r="B22" s="2">
        <v>1.5</v>
      </c>
    </row>
    <row r="23" spans="1:2">
      <c r="A23" s="2">
        <v>4</v>
      </c>
      <c r="B23" s="2">
        <v>2</v>
      </c>
    </row>
    <row r="24" spans="1:2">
      <c r="A24" s="2">
        <v>6</v>
      </c>
      <c r="B24" s="2">
        <v>2.5</v>
      </c>
    </row>
    <row r="25" spans="1:2">
      <c r="A25" s="2">
        <v>8</v>
      </c>
      <c r="B25" s="2">
        <v>3.5</v>
      </c>
    </row>
    <row r="26" spans="1:2">
      <c r="A26" s="2">
        <v>10</v>
      </c>
      <c r="B26" s="2">
        <v>4</v>
      </c>
    </row>
    <row r="27" spans="1:2">
      <c r="A27" s="2">
        <v>13</v>
      </c>
      <c r="B27" s="2">
        <v>4.5</v>
      </c>
    </row>
    <row r="28" spans="1:2">
      <c r="A28" s="2">
        <v>15</v>
      </c>
      <c r="B28" s="2">
        <v>5</v>
      </c>
    </row>
    <row r="29" spans="1:2">
      <c r="A29" s="2">
        <v>17</v>
      </c>
      <c r="B29" s="2">
        <v>5</v>
      </c>
    </row>
    <row r="30" spans="1:2">
      <c r="A30" s="2">
        <v>19</v>
      </c>
      <c r="B30" s="2">
        <v>5.5</v>
      </c>
    </row>
    <row r="31" spans="1:2">
      <c r="A31" s="2">
        <v>23</v>
      </c>
      <c r="B31" s="2">
        <v>6</v>
      </c>
    </row>
    <row r="32" spans="1:2">
      <c r="A32" s="2">
        <v>27</v>
      </c>
      <c r="B32" s="2">
        <v>6.5</v>
      </c>
    </row>
    <row r="33" spans="1:2">
      <c r="A33" s="2">
        <v>30</v>
      </c>
      <c r="B33" s="2">
        <v>7</v>
      </c>
    </row>
    <row r="34" spans="1:2">
      <c r="A34" s="2">
        <v>33</v>
      </c>
      <c r="B34" s="2">
        <v>7.5</v>
      </c>
    </row>
    <row r="35" spans="1:2">
      <c r="A35" s="2">
        <v>35</v>
      </c>
      <c r="B35" s="2">
        <v>8</v>
      </c>
    </row>
    <row r="36" spans="1:2">
      <c r="A36" s="2">
        <v>37</v>
      </c>
      <c r="B36" s="2">
        <v>8.5</v>
      </c>
    </row>
    <row r="37" spans="1:2">
      <c r="A37" s="2">
        <v>39</v>
      </c>
      <c r="B37" s="2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1"/>
  <sheetViews>
    <sheetView tabSelected="1" workbookViewId="0">
      <pane ySplit="1" topLeftCell="A2" activePane="bottomLeft" state="frozen"/>
      <selection pane="bottomLeft" activeCell="I10" sqref="A10:I10"/>
    </sheetView>
  </sheetViews>
  <sheetFormatPr defaultRowHeight="14.4"/>
  <cols>
    <col min="1" max="1" width="33.77734375" customWidth="1"/>
    <col min="2" max="2" width="32.44140625" customWidth="1"/>
    <col min="3" max="3" width="22.6640625" customWidth="1"/>
    <col min="4" max="4" width="28.88671875" customWidth="1"/>
    <col min="5" max="5" width="23.21875" customWidth="1"/>
    <col min="6" max="9" width="16" customWidth="1"/>
  </cols>
  <sheetData>
    <row r="1" spans="1:9" ht="25.95" customHeight="1">
      <c r="A1" s="4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</row>
    <row r="2" spans="1:9" ht="15.6">
      <c r="A2" s="7" t="s">
        <v>13</v>
      </c>
      <c r="B2" s="8">
        <v>25</v>
      </c>
      <c r="C2" s="9"/>
      <c r="D2" s="9">
        <v>32</v>
      </c>
      <c r="E2" s="9">
        <f>IF(D2="","",VLOOKUP(D2,'Conversion Tables'!$A$2:$B$18,2,TRUE))</f>
        <v>7.5</v>
      </c>
      <c r="F2" s="9">
        <v>5.5</v>
      </c>
      <c r="G2" s="9">
        <v>7.5</v>
      </c>
      <c r="H2" s="9">
        <f t="shared" ref="H2:H33" si="0">IF(AND(C2="",E2="",F2="",G2=""),"",ROUND(AVERAGE(C2,E2,F2,G2)*2,0)/2)</f>
        <v>7</v>
      </c>
      <c r="I2" s="9">
        <f t="shared" ref="I2:I33" si="1">IF(H2="","",IF(H2=6,5,IF(H2=6.5,10,IF(H2=7,15,IF(H2=7.5,20,IF(H2=8,30,0))))))</f>
        <v>15</v>
      </c>
    </row>
    <row r="3" spans="1:9" ht="15.6">
      <c r="A3" s="7" t="s">
        <v>14</v>
      </c>
      <c r="B3" s="8">
        <v>20</v>
      </c>
      <c r="C3" s="9">
        <f>IF(B3="","",VLOOKUP(B3,'Conversion Tables'!$A$21:$B$37,2,TRUE))</f>
        <v>5.5</v>
      </c>
      <c r="D3" s="9">
        <v>30</v>
      </c>
      <c r="E3" s="9">
        <f>IF(D3="","",VLOOKUP(D3,'Conversion Tables'!$A$2:$B$18,2,TRUE))</f>
        <v>7</v>
      </c>
      <c r="F3" s="9">
        <v>5.5</v>
      </c>
      <c r="G3" s="9">
        <v>6.5</v>
      </c>
      <c r="H3" s="9">
        <f t="shared" si="0"/>
        <v>6</v>
      </c>
      <c r="I3" s="9">
        <f t="shared" si="1"/>
        <v>5</v>
      </c>
    </row>
    <row r="4" spans="1:9" ht="15.6">
      <c r="A4" s="7" t="s">
        <v>15</v>
      </c>
      <c r="B4" s="8">
        <v>21</v>
      </c>
      <c r="C4" s="9">
        <f>IF(B4="","",VLOOKUP(B4,'Conversion Tables'!$A$21:$B$37,2,TRUE))</f>
        <v>5.5</v>
      </c>
      <c r="D4" s="9">
        <v>31</v>
      </c>
      <c r="E4" s="9">
        <f>IF(D4="","",VLOOKUP(D4,'Conversion Tables'!$A$2:$B$18,2,TRUE))</f>
        <v>7</v>
      </c>
      <c r="F4" s="9">
        <v>6</v>
      </c>
      <c r="G4" s="9">
        <v>5.5</v>
      </c>
      <c r="H4" s="9">
        <f t="shared" si="0"/>
        <v>6</v>
      </c>
      <c r="I4" s="9">
        <f t="shared" si="1"/>
        <v>5</v>
      </c>
    </row>
    <row r="5" spans="1:9" ht="15.6">
      <c r="A5" s="7" t="s">
        <v>16</v>
      </c>
      <c r="B5" s="8">
        <v>25</v>
      </c>
      <c r="C5" s="9">
        <v>6</v>
      </c>
      <c r="D5" s="9">
        <v>27</v>
      </c>
      <c r="E5" s="9">
        <f>IF(D5="","",VLOOKUP(D5,'Conversion Tables'!$A$2:$B$18,2,TRUE))</f>
        <v>6.5</v>
      </c>
      <c r="F5" s="9">
        <v>6</v>
      </c>
      <c r="G5" s="9">
        <v>7.5</v>
      </c>
      <c r="H5" s="9">
        <f t="shared" si="0"/>
        <v>6.5</v>
      </c>
      <c r="I5" s="9">
        <f t="shared" si="1"/>
        <v>10</v>
      </c>
    </row>
    <row r="6" spans="1:9" ht="15.6">
      <c r="A6" s="7" t="s">
        <v>17</v>
      </c>
      <c r="B6" s="8">
        <v>21</v>
      </c>
      <c r="C6" s="9">
        <f>IF(B6="","",VLOOKUP(B6,'Conversion Tables'!$A$21:$B$37,2,TRUE))</f>
        <v>5.5</v>
      </c>
      <c r="D6" s="9">
        <v>29</v>
      </c>
      <c r="E6" s="9">
        <f>IF(D6="","",VLOOKUP(D6,'Conversion Tables'!$A$2:$B$18,2,TRUE))</f>
        <v>6.5</v>
      </c>
      <c r="F6" s="9">
        <v>6</v>
      </c>
      <c r="G6" s="9">
        <v>6</v>
      </c>
      <c r="H6" s="9">
        <f t="shared" si="0"/>
        <v>6</v>
      </c>
      <c r="I6" s="9">
        <f t="shared" si="1"/>
        <v>5</v>
      </c>
    </row>
    <row r="7" spans="1:9" ht="15.6">
      <c r="A7" s="7" t="s">
        <v>18</v>
      </c>
      <c r="B7" s="8">
        <v>18</v>
      </c>
      <c r="C7" s="9">
        <f>IF(B7="","",VLOOKUP(B7,'Conversion Tables'!$A$21:$B$37,2,TRUE))</f>
        <v>5</v>
      </c>
      <c r="D7" s="9">
        <v>27</v>
      </c>
      <c r="E7" s="9">
        <f>IF(D7="","",VLOOKUP(D7,'Conversion Tables'!$A$2:$B$18,2,TRUE))</f>
        <v>6.5</v>
      </c>
      <c r="F7" s="9">
        <v>6</v>
      </c>
      <c r="G7" s="9">
        <v>6.5</v>
      </c>
      <c r="H7" s="9">
        <f t="shared" si="0"/>
        <v>6</v>
      </c>
      <c r="I7" s="9">
        <f t="shared" si="1"/>
        <v>5</v>
      </c>
    </row>
    <row r="8" spans="1:9" ht="15.6">
      <c r="A8" s="13" t="s">
        <v>19</v>
      </c>
      <c r="B8" s="14">
        <v>18</v>
      </c>
      <c r="C8" s="15">
        <f>IF(B8="","",VLOOKUP(B8,'Conversion Tables'!$A$21:$B$37,2,TRUE))</f>
        <v>5</v>
      </c>
      <c r="D8" s="15">
        <v>16</v>
      </c>
      <c r="E8" s="15">
        <f>IF(D8="","",VLOOKUP(D8,'Conversion Tables'!$A$2:$B$18,2,TRUE))</f>
        <v>5</v>
      </c>
      <c r="F8" s="15">
        <v>4.5</v>
      </c>
      <c r="G8" s="15">
        <v>4.5</v>
      </c>
      <c r="H8" s="15">
        <f t="shared" si="0"/>
        <v>5</v>
      </c>
      <c r="I8" s="15">
        <f t="shared" si="1"/>
        <v>0</v>
      </c>
    </row>
    <row r="9" spans="1:9" ht="15.6">
      <c r="A9" s="10" t="s">
        <v>33</v>
      </c>
      <c r="B9" s="11">
        <v>17</v>
      </c>
      <c r="C9" s="12">
        <f>IF(B9="","",VLOOKUP(B9,'Conversion Tables'!$A$21:$B$37,2,TRUE))</f>
        <v>5</v>
      </c>
      <c r="D9" s="12"/>
      <c r="E9" s="12" t="str">
        <f>IF(D9="","",VLOOKUP(D9,'Conversion Tables'!$A$2:$B$18,2,TRUE))</f>
        <v/>
      </c>
      <c r="F9" s="12"/>
      <c r="G9" s="12">
        <v>5.5</v>
      </c>
      <c r="H9" s="12">
        <f t="shared" si="0"/>
        <v>5.5</v>
      </c>
      <c r="I9" s="12">
        <f t="shared" si="1"/>
        <v>0</v>
      </c>
    </row>
    <row r="10" spans="1:9" ht="15.6">
      <c r="A10" s="13" t="s">
        <v>20</v>
      </c>
      <c r="B10" s="14">
        <v>13</v>
      </c>
      <c r="C10" s="15">
        <f>IF(B10="","",VLOOKUP(B10,'Conversion Tables'!$A$21:$B$37,2,TRUE))</f>
        <v>4.5</v>
      </c>
      <c r="D10" s="15">
        <v>13</v>
      </c>
      <c r="E10" s="15">
        <f>IF(D10="","",VLOOKUP(D10,'Conversion Tables'!$A$2:$B$18,2,TRUE))</f>
        <v>4.5</v>
      </c>
      <c r="F10" s="15"/>
      <c r="G10" s="15">
        <v>5.5</v>
      </c>
      <c r="H10" s="15">
        <f t="shared" si="0"/>
        <v>5</v>
      </c>
      <c r="I10" s="15">
        <f t="shared" si="1"/>
        <v>0</v>
      </c>
    </row>
    <row r="11" spans="1:9" ht="15.6">
      <c r="A11" s="10" t="s">
        <v>21</v>
      </c>
      <c r="B11" s="11">
        <v>16</v>
      </c>
      <c r="C11" s="12">
        <f>IF(B11="","",VLOOKUP(B11,'Conversion Tables'!$A$21:$B$37,2,TRUE))</f>
        <v>5</v>
      </c>
      <c r="D11" s="12">
        <v>18</v>
      </c>
      <c r="E11" s="12">
        <f>IF(D11="","",VLOOKUP(D11,'Conversion Tables'!$A$2:$B$18,2,TRUE))</f>
        <v>5.5</v>
      </c>
      <c r="F11" s="12">
        <v>5.5</v>
      </c>
      <c r="G11" s="12">
        <v>5.5</v>
      </c>
      <c r="H11" s="12">
        <f t="shared" si="0"/>
        <v>5.5</v>
      </c>
      <c r="I11" s="12">
        <f t="shared" si="1"/>
        <v>0</v>
      </c>
    </row>
    <row r="12" spans="1:9" ht="15.6">
      <c r="A12" s="7" t="s">
        <v>22</v>
      </c>
      <c r="B12" s="8">
        <v>22</v>
      </c>
      <c r="C12" s="9">
        <f>IF(B12="","",VLOOKUP(B12,'Conversion Tables'!$A$21:$B$37,2,TRUE))</f>
        <v>5.5</v>
      </c>
      <c r="D12" s="9">
        <v>26</v>
      </c>
      <c r="E12" s="9">
        <f>IF(D12="","",VLOOKUP(D12,'Conversion Tables'!$A$2:$B$18,2,TRUE))</f>
        <v>6.5</v>
      </c>
      <c r="F12" s="9">
        <v>6</v>
      </c>
      <c r="G12" s="9">
        <v>5</v>
      </c>
      <c r="H12" s="9">
        <f t="shared" si="0"/>
        <v>6</v>
      </c>
      <c r="I12" s="9">
        <f t="shared" si="1"/>
        <v>5</v>
      </c>
    </row>
    <row r="13" spans="1:9" ht="15.6">
      <c r="A13" s="7" t="s">
        <v>23</v>
      </c>
      <c r="B13" s="8">
        <v>18</v>
      </c>
      <c r="C13" s="9">
        <f>IF(B13="","",VLOOKUP(B13,'Conversion Tables'!$A$21:$B$37,2,TRUE))</f>
        <v>5</v>
      </c>
      <c r="D13" s="9">
        <v>32</v>
      </c>
      <c r="E13" s="9">
        <f>IF(D13="","",VLOOKUP(D13,'Conversion Tables'!$A$2:$B$18,2,TRUE))</f>
        <v>7.5</v>
      </c>
      <c r="F13" s="9">
        <v>6</v>
      </c>
      <c r="G13" s="9">
        <v>6</v>
      </c>
      <c r="H13" s="9">
        <f t="shared" si="0"/>
        <v>6</v>
      </c>
      <c r="I13" s="9">
        <f t="shared" si="1"/>
        <v>5</v>
      </c>
    </row>
    <row r="14" spans="1:9" ht="15.6">
      <c r="A14" s="7" t="s">
        <v>24</v>
      </c>
      <c r="B14" s="8">
        <v>22</v>
      </c>
      <c r="C14" s="9">
        <f>IF(B14="","",VLOOKUP(B14,'Conversion Tables'!$A$21:$B$37,2,TRUE))</f>
        <v>5.5</v>
      </c>
      <c r="D14" s="9">
        <v>30</v>
      </c>
      <c r="E14" s="9">
        <f>IF(D14="","",VLOOKUP(D14,'Conversion Tables'!$A$2:$B$18,2,TRUE))</f>
        <v>7</v>
      </c>
      <c r="F14" s="9">
        <v>6</v>
      </c>
      <c r="G14" s="9">
        <v>5.5</v>
      </c>
      <c r="H14" s="9">
        <f t="shared" si="0"/>
        <v>6</v>
      </c>
      <c r="I14" s="9">
        <f t="shared" si="1"/>
        <v>5</v>
      </c>
    </row>
    <row r="15" spans="1:9" ht="15.6">
      <c r="A15" s="7" t="s">
        <v>25</v>
      </c>
      <c r="B15" s="8">
        <v>16</v>
      </c>
      <c r="C15" s="9">
        <f>IF(B15="","",VLOOKUP(B15,'Conversion Tables'!$A$21:$B$37,2,TRUE))</f>
        <v>5</v>
      </c>
      <c r="D15" s="9">
        <v>23</v>
      </c>
      <c r="E15" s="9">
        <f>IF(D15="","",VLOOKUP(D15,'Conversion Tables'!$A$2:$B$18,2,TRUE))</f>
        <v>6</v>
      </c>
      <c r="F15" s="9">
        <v>6</v>
      </c>
      <c r="G15" s="9">
        <v>6.5</v>
      </c>
      <c r="H15" s="9">
        <f t="shared" si="0"/>
        <v>6</v>
      </c>
      <c r="I15" s="9">
        <f t="shared" si="1"/>
        <v>5</v>
      </c>
    </row>
    <row r="16" spans="1:9" ht="15.6">
      <c r="A16" s="7" t="s">
        <v>26</v>
      </c>
      <c r="B16" s="8">
        <v>26</v>
      </c>
      <c r="C16" s="9">
        <f>IF(B16="","",VLOOKUP(B16,'Conversion Tables'!$A$21:$B$37,2,TRUE))</f>
        <v>6</v>
      </c>
      <c r="D16" s="9">
        <v>28</v>
      </c>
      <c r="E16" s="9">
        <f>IF(D16="","",VLOOKUP(D16,'Conversion Tables'!$A$2:$B$18,2,TRUE))</f>
        <v>6.5</v>
      </c>
      <c r="F16" s="9">
        <v>6</v>
      </c>
      <c r="G16" s="9">
        <v>6</v>
      </c>
      <c r="H16" s="9">
        <f t="shared" si="0"/>
        <v>6</v>
      </c>
      <c r="I16" s="9">
        <f t="shared" si="1"/>
        <v>5</v>
      </c>
    </row>
    <row r="17" spans="1:9" ht="15.6">
      <c r="A17" s="6" t="s">
        <v>27</v>
      </c>
      <c r="B17" s="3" t="s">
        <v>28</v>
      </c>
      <c r="C17" s="2" t="e">
        <f>IF(B17="","",VLOOKUP(B17,'Conversion Tables'!$A$21:$B$37,2,TRUE))</f>
        <v>#N/A</v>
      </c>
      <c r="D17" s="2">
        <v>20</v>
      </c>
      <c r="E17" s="2">
        <f>IF(D17="","",VLOOKUP(D17,'Conversion Tables'!$A$2:$B$18,2,TRUE))</f>
        <v>5.5</v>
      </c>
      <c r="F17" s="2" t="s">
        <v>28</v>
      </c>
      <c r="G17" s="2" t="s">
        <v>28</v>
      </c>
      <c r="H17" s="2" t="e">
        <f t="shared" si="0"/>
        <v>#N/A</v>
      </c>
      <c r="I17" s="2" t="e">
        <f t="shared" si="1"/>
        <v>#N/A</v>
      </c>
    </row>
    <row r="18" spans="1:9" ht="15.6">
      <c r="A18" s="7" t="s">
        <v>29</v>
      </c>
      <c r="B18" s="8">
        <v>24</v>
      </c>
      <c r="C18" s="9">
        <f>IF(B18="","",VLOOKUP(B18,'Conversion Tables'!$A$21:$B$37,2,TRUE))</f>
        <v>6</v>
      </c>
      <c r="D18" s="9">
        <v>37</v>
      </c>
      <c r="E18" s="9">
        <f>IF(D18="","",VLOOKUP(D18,'Conversion Tables'!$A$2:$B$18,2,TRUE))</f>
        <v>8.5</v>
      </c>
      <c r="F18" s="9">
        <v>6.5</v>
      </c>
      <c r="G18" s="9">
        <v>6</v>
      </c>
      <c r="H18" s="9">
        <f t="shared" si="0"/>
        <v>7</v>
      </c>
      <c r="I18" s="9">
        <f t="shared" si="1"/>
        <v>15</v>
      </c>
    </row>
    <row r="19" spans="1:9" ht="15.6">
      <c r="A19" s="7" t="s">
        <v>30</v>
      </c>
      <c r="B19" s="8">
        <v>21</v>
      </c>
      <c r="C19" s="9">
        <f>IF(B19="","",VLOOKUP(B19,'Conversion Tables'!$A$21:$B$37,2,TRUE))</f>
        <v>5.5</v>
      </c>
      <c r="D19" s="9">
        <v>30</v>
      </c>
      <c r="E19" s="9">
        <f>IF(D19="","",VLOOKUP(D19,'Conversion Tables'!$A$2:$B$18,2,TRUE))</f>
        <v>7</v>
      </c>
      <c r="F19" s="9">
        <v>6</v>
      </c>
      <c r="G19" s="9">
        <v>6.5</v>
      </c>
      <c r="H19" s="9">
        <f t="shared" si="0"/>
        <v>6.5</v>
      </c>
      <c r="I19" s="9">
        <f t="shared" si="1"/>
        <v>10</v>
      </c>
    </row>
    <row r="20" spans="1:9" ht="15.6">
      <c r="A20" s="7" t="s">
        <v>31</v>
      </c>
      <c r="B20" s="8">
        <v>25</v>
      </c>
      <c r="C20" s="9">
        <f>IF(B20="","",VLOOKUP(B20,'Conversion Tables'!$A$21:$B$37,2,TRUE))</f>
        <v>6</v>
      </c>
      <c r="D20" s="9">
        <v>30</v>
      </c>
      <c r="E20" s="9">
        <f>IF(D20="","",VLOOKUP(D20,'Conversion Tables'!$A$2:$B$18,2,TRUE))</f>
        <v>7</v>
      </c>
      <c r="F20" s="9">
        <v>6.5</v>
      </c>
      <c r="G20" s="9">
        <v>6.5</v>
      </c>
      <c r="H20" s="9">
        <f t="shared" si="0"/>
        <v>6.5</v>
      </c>
      <c r="I20" s="9">
        <f t="shared" si="1"/>
        <v>10</v>
      </c>
    </row>
    <row r="21" spans="1:9" ht="15.6">
      <c r="A21" s="6" t="s">
        <v>32</v>
      </c>
      <c r="B21" s="3">
        <v>17</v>
      </c>
      <c r="C21" s="2">
        <f>IF(B21="","",VLOOKUP(B21,'Conversion Tables'!$A$21:$B$37,2,TRUE))</f>
        <v>5</v>
      </c>
      <c r="D21" s="2">
        <v>20</v>
      </c>
      <c r="E21" s="2">
        <f>IF(D21="","",VLOOKUP(D21,'Conversion Tables'!$A$2:$B$18,2,TRUE))</f>
        <v>5.5</v>
      </c>
      <c r="F21" s="2">
        <v>5.5</v>
      </c>
      <c r="G21" s="2">
        <v>6</v>
      </c>
      <c r="H21" s="2">
        <f t="shared" si="0"/>
        <v>5.5</v>
      </c>
      <c r="I21" s="2">
        <f t="shared" si="1"/>
        <v>0</v>
      </c>
    </row>
    <row r="22" spans="1:9" ht="15.6">
      <c r="A22" s="6"/>
      <c r="B22" s="3"/>
      <c r="C22" s="2" t="str">
        <f>IF(B22="","",VLOOKUP(B22,'Conversion Tables'!$A$21:$B$37,2,TRUE))</f>
        <v/>
      </c>
      <c r="D22" s="2"/>
      <c r="E22" s="2" t="str">
        <f>IF(D22="","",VLOOKUP(D22,'Conversion Tables'!$A$2:$B$18,2,TRUE))</f>
        <v/>
      </c>
      <c r="F22" s="2"/>
      <c r="G22" s="2"/>
      <c r="H22" s="2" t="str">
        <f t="shared" si="0"/>
        <v/>
      </c>
      <c r="I22" s="2" t="str">
        <f t="shared" si="1"/>
        <v/>
      </c>
    </row>
    <row r="23" spans="1:9" ht="15.6">
      <c r="A23" s="6"/>
      <c r="B23" s="3"/>
      <c r="C23" s="2" t="str">
        <f>IF(B23="","",VLOOKUP(B23,'Conversion Tables'!$A$21:$B$37,2,TRUE))</f>
        <v/>
      </c>
      <c r="D23" s="2"/>
      <c r="E23" s="2" t="str">
        <f>IF(D23="","",VLOOKUP(D23,'Conversion Tables'!$A$2:$B$18,2,TRUE))</f>
        <v/>
      </c>
      <c r="F23" s="2"/>
      <c r="G23" s="2"/>
      <c r="H23" s="2" t="str">
        <f t="shared" si="0"/>
        <v/>
      </c>
      <c r="I23" s="2" t="str">
        <f t="shared" si="1"/>
        <v/>
      </c>
    </row>
    <row r="24" spans="1:9" ht="15.6">
      <c r="A24" s="6"/>
      <c r="B24" s="3"/>
      <c r="C24" s="2" t="str">
        <f>IF(B24="","",VLOOKUP(B24,'Conversion Tables'!$A$21:$B$37,2,TRUE))</f>
        <v/>
      </c>
      <c r="D24" s="2"/>
      <c r="E24" s="2" t="str">
        <f>IF(D24="","",VLOOKUP(D24,'Conversion Tables'!$A$2:$B$18,2,TRUE))</f>
        <v/>
      </c>
      <c r="F24" s="2"/>
      <c r="G24" s="2"/>
      <c r="H24" s="2" t="str">
        <f t="shared" si="0"/>
        <v/>
      </c>
      <c r="I24" s="2" t="str">
        <f t="shared" si="1"/>
        <v/>
      </c>
    </row>
    <row r="25" spans="1:9">
      <c r="A25" s="5"/>
      <c r="B25" s="2"/>
      <c r="C25" s="2" t="str">
        <f>IF(B25="","",VLOOKUP(B25,'Conversion Tables'!$A$21:$B$37,2,TRUE))</f>
        <v/>
      </c>
      <c r="D25" s="2"/>
      <c r="E25" s="2" t="str">
        <f>IF(D25="","",VLOOKUP(D25,'Conversion Tables'!$A$2:$B$18,2,TRUE))</f>
        <v/>
      </c>
      <c r="F25" s="2"/>
      <c r="G25" s="2"/>
      <c r="H25" s="2" t="str">
        <f t="shared" si="0"/>
        <v/>
      </c>
      <c r="I25" s="2" t="str">
        <f t="shared" si="1"/>
        <v/>
      </c>
    </row>
    <row r="26" spans="1:9">
      <c r="A26" s="2"/>
      <c r="B26" s="2"/>
      <c r="C26" s="2" t="str">
        <f>IF(B26="","",VLOOKUP(B26,'Conversion Tables'!$A$21:$B$37,2,TRUE))</f>
        <v/>
      </c>
      <c r="D26" s="2"/>
      <c r="E26" s="2" t="str">
        <f>IF(D26="","",VLOOKUP(D26,'Conversion Tables'!$A$2:$B$18,2,TRUE))</f>
        <v/>
      </c>
      <c r="F26" s="2"/>
      <c r="G26" s="2"/>
      <c r="H26" s="2" t="str">
        <f t="shared" si="0"/>
        <v/>
      </c>
      <c r="I26" s="2" t="str">
        <f t="shared" si="1"/>
        <v/>
      </c>
    </row>
    <row r="27" spans="1:9">
      <c r="A27" s="2"/>
      <c r="B27" s="2"/>
      <c r="C27" s="2" t="str">
        <f>IF(B27="","",VLOOKUP(B27,'Conversion Tables'!$A$21:$B$37,2,TRUE))</f>
        <v/>
      </c>
      <c r="D27" s="2"/>
      <c r="E27" s="2" t="str">
        <f>IF(D27="","",VLOOKUP(D27,'Conversion Tables'!$A$2:$B$18,2,TRUE))</f>
        <v/>
      </c>
      <c r="F27" s="2"/>
      <c r="G27" s="2"/>
      <c r="H27" s="2" t="str">
        <f t="shared" si="0"/>
        <v/>
      </c>
      <c r="I27" s="2" t="str">
        <f t="shared" si="1"/>
        <v/>
      </c>
    </row>
    <row r="28" spans="1:9">
      <c r="A28" s="2"/>
      <c r="B28" s="2"/>
      <c r="C28" s="2" t="str">
        <f>IF(B28="","",VLOOKUP(B28,'Conversion Tables'!$A$21:$B$37,2,TRUE))</f>
        <v/>
      </c>
      <c r="D28" s="2"/>
      <c r="E28" s="2" t="str">
        <f>IF(D28="","",VLOOKUP(D28,'Conversion Tables'!$A$2:$B$18,2,TRUE))</f>
        <v/>
      </c>
      <c r="F28" s="2"/>
      <c r="G28" s="2"/>
      <c r="H28" s="2" t="str">
        <f t="shared" si="0"/>
        <v/>
      </c>
      <c r="I28" s="2" t="str">
        <f t="shared" si="1"/>
        <v/>
      </c>
    </row>
    <row r="29" spans="1:9">
      <c r="A29" s="2"/>
      <c r="B29" s="2"/>
      <c r="C29" s="2" t="str">
        <f>IF(B29="","",VLOOKUP(B29,'Conversion Tables'!$A$21:$B$37,2,TRUE))</f>
        <v/>
      </c>
      <c r="D29" s="2"/>
      <c r="E29" s="2" t="str">
        <f>IF(D29="","",VLOOKUP(D29,'Conversion Tables'!$A$2:$B$18,2,TRUE))</f>
        <v/>
      </c>
      <c r="F29" s="2"/>
      <c r="G29" s="2"/>
      <c r="H29" s="2" t="str">
        <f t="shared" si="0"/>
        <v/>
      </c>
      <c r="I29" s="2" t="str">
        <f t="shared" si="1"/>
        <v/>
      </c>
    </row>
    <row r="30" spans="1:9">
      <c r="A30" s="2"/>
      <c r="B30" s="2"/>
      <c r="C30" s="2" t="str">
        <f>IF(B30="","",VLOOKUP(B30,'Conversion Tables'!$A$21:$B$37,2,TRUE))</f>
        <v/>
      </c>
      <c r="D30" s="2"/>
      <c r="E30" s="2" t="str">
        <f>IF(D30="","",VLOOKUP(D30,'Conversion Tables'!$A$2:$B$18,2,TRUE))</f>
        <v/>
      </c>
      <c r="F30" s="2"/>
      <c r="G30" s="2"/>
      <c r="H30" s="2" t="str">
        <f t="shared" si="0"/>
        <v/>
      </c>
      <c r="I30" s="2" t="str">
        <f t="shared" si="1"/>
        <v/>
      </c>
    </row>
    <row r="31" spans="1:9">
      <c r="A31" s="2"/>
      <c r="B31" s="2"/>
      <c r="C31" s="2" t="str">
        <f>IF(B31="","",VLOOKUP(B31,'Conversion Tables'!$A$21:$B$37,2,TRUE))</f>
        <v/>
      </c>
      <c r="D31" s="2"/>
      <c r="E31" s="2" t="str">
        <f>IF(D31="","",VLOOKUP(D31,'Conversion Tables'!$A$2:$B$18,2,TRUE))</f>
        <v/>
      </c>
      <c r="F31" s="2"/>
      <c r="G31" s="2"/>
      <c r="H31" s="2" t="str">
        <f t="shared" si="0"/>
        <v/>
      </c>
      <c r="I31" s="2" t="str">
        <f t="shared" si="1"/>
        <v/>
      </c>
    </row>
    <row r="32" spans="1:9">
      <c r="A32" s="2"/>
      <c r="B32" s="2"/>
      <c r="C32" s="2" t="str">
        <f>IF(B32="","",VLOOKUP(B32,'Conversion Tables'!$A$21:$B$37,2,TRUE))</f>
        <v/>
      </c>
      <c r="D32" s="2"/>
      <c r="E32" s="2" t="str">
        <f>IF(D32="","",VLOOKUP(D32,'Conversion Tables'!$A$2:$B$18,2,TRUE))</f>
        <v/>
      </c>
      <c r="F32" s="2"/>
      <c r="G32" s="2"/>
      <c r="H32" s="2" t="str">
        <f t="shared" si="0"/>
        <v/>
      </c>
      <c r="I32" s="2" t="str">
        <f t="shared" si="1"/>
        <v/>
      </c>
    </row>
    <row r="33" spans="1:9">
      <c r="A33" s="2"/>
      <c r="B33" s="2"/>
      <c r="C33" s="2" t="str">
        <f>IF(B33="","",VLOOKUP(B33,'Conversion Tables'!$A$21:$B$37,2,TRUE))</f>
        <v/>
      </c>
      <c r="D33" s="2"/>
      <c r="E33" s="2" t="str">
        <f>IF(D33="","",VLOOKUP(D33,'Conversion Tables'!$A$2:$B$18,2,TRUE))</f>
        <v/>
      </c>
      <c r="F33" s="2"/>
      <c r="G33" s="2"/>
      <c r="H33" s="2" t="str">
        <f t="shared" si="0"/>
        <v/>
      </c>
      <c r="I33" s="2" t="str">
        <f t="shared" si="1"/>
        <v/>
      </c>
    </row>
    <row r="34" spans="1:9">
      <c r="A34" s="2"/>
      <c r="B34" s="2"/>
      <c r="C34" s="2" t="str">
        <f>IF(B34="","",VLOOKUP(B34,'Conversion Tables'!$A$21:$B$37,2,TRUE))</f>
        <v/>
      </c>
      <c r="D34" s="2"/>
      <c r="E34" s="2" t="str">
        <f>IF(D34="","",VLOOKUP(D34,'Conversion Tables'!$A$2:$B$18,2,TRUE))</f>
        <v/>
      </c>
      <c r="F34" s="2"/>
      <c r="G34" s="2"/>
      <c r="H34" s="2" t="str">
        <f t="shared" ref="H34:H65" si="2">IF(AND(C34="",E34="",F34="",G34=""),"",ROUND(AVERAGE(C34,E34,F34,G34)*2,0)/2)</f>
        <v/>
      </c>
      <c r="I34" s="2" t="str">
        <f t="shared" ref="I34:I65" si="3">IF(H34="","",IF(H34=6,5,IF(H34=6.5,10,IF(H34=7,15,IF(H34=7.5,20,IF(H34=8,30,0))))))</f>
        <v/>
      </c>
    </row>
    <row r="35" spans="1:9">
      <c r="A35" s="2"/>
      <c r="B35" s="2"/>
      <c r="C35" s="2" t="str">
        <f>IF(B35="","",VLOOKUP(B35,'Conversion Tables'!$A$21:$B$37,2,TRUE))</f>
        <v/>
      </c>
      <c r="D35" s="2"/>
      <c r="E35" s="2" t="str">
        <f>IF(D35="","",VLOOKUP(D35,'Conversion Tables'!$A$2:$B$18,2,TRUE))</f>
        <v/>
      </c>
      <c r="F35" s="2"/>
      <c r="G35" s="2"/>
      <c r="H35" s="2" t="str">
        <f t="shared" si="2"/>
        <v/>
      </c>
      <c r="I35" s="2" t="str">
        <f t="shared" si="3"/>
        <v/>
      </c>
    </row>
    <row r="36" spans="1:9">
      <c r="A36" s="2"/>
      <c r="B36" s="2"/>
      <c r="C36" s="2" t="str">
        <f>IF(B36="","",VLOOKUP(B36,'Conversion Tables'!$A$21:$B$37,2,TRUE))</f>
        <v/>
      </c>
      <c r="D36" s="2"/>
      <c r="E36" s="2" t="str">
        <f>IF(D36="","",VLOOKUP(D36,'Conversion Tables'!$A$2:$B$18,2,TRUE))</f>
        <v/>
      </c>
      <c r="F36" s="2"/>
      <c r="G36" s="2"/>
      <c r="H36" s="2" t="str">
        <f t="shared" si="2"/>
        <v/>
      </c>
      <c r="I36" s="2" t="str">
        <f t="shared" si="3"/>
        <v/>
      </c>
    </row>
    <row r="37" spans="1:9">
      <c r="A37" s="2"/>
      <c r="B37" s="2"/>
      <c r="C37" s="2" t="str">
        <f>IF(B37="","",VLOOKUP(B37,'Conversion Tables'!$A$21:$B$37,2,TRUE))</f>
        <v/>
      </c>
      <c r="D37" s="2"/>
      <c r="E37" s="2" t="str">
        <f>IF(D37="","",VLOOKUP(D37,'Conversion Tables'!$A$2:$B$18,2,TRUE))</f>
        <v/>
      </c>
      <c r="F37" s="2"/>
      <c r="G37" s="2"/>
      <c r="H37" s="2" t="str">
        <f t="shared" si="2"/>
        <v/>
      </c>
      <c r="I37" s="2" t="str">
        <f t="shared" si="3"/>
        <v/>
      </c>
    </row>
    <row r="38" spans="1:9">
      <c r="A38" s="2"/>
      <c r="B38" s="2"/>
      <c r="C38" s="2" t="str">
        <f>IF(B38="","",VLOOKUP(B38,'Conversion Tables'!$A$21:$B$37,2,TRUE))</f>
        <v/>
      </c>
      <c r="D38" s="2"/>
      <c r="E38" s="2" t="str">
        <f>IF(D38="","",VLOOKUP(D38,'Conversion Tables'!$A$2:$B$18,2,TRUE))</f>
        <v/>
      </c>
      <c r="F38" s="2"/>
      <c r="G38" s="2"/>
      <c r="H38" s="2" t="str">
        <f t="shared" si="2"/>
        <v/>
      </c>
      <c r="I38" s="2" t="str">
        <f t="shared" si="3"/>
        <v/>
      </c>
    </row>
    <row r="39" spans="1:9">
      <c r="A39" s="2"/>
      <c r="B39" s="2"/>
      <c r="C39" s="2" t="str">
        <f>IF(B39="","",VLOOKUP(B39,'Conversion Tables'!$A$21:$B$37,2,TRUE))</f>
        <v/>
      </c>
      <c r="D39" s="2"/>
      <c r="E39" s="2" t="str">
        <f>IF(D39="","",VLOOKUP(D39,'Conversion Tables'!$A$2:$B$18,2,TRUE))</f>
        <v/>
      </c>
      <c r="F39" s="2"/>
      <c r="G39" s="2"/>
      <c r="H39" s="2" t="str">
        <f t="shared" si="2"/>
        <v/>
      </c>
      <c r="I39" s="2" t="str">
        <f t="shared" si="3"/>
        <v/>
      </c>
    </row>
    <row r="40" spans="1:9">
      <c r="A40" s="2"/>
      <c r="B40" s="2"/>
      <c r="C40" s="2" t="str">
        <f>IF(B40="","",VLOOKUP(B40,'Conversion Tables'!$A$21:$B$37,2,TRUE))</f>
        <v/>
      </c>
      <c r="D40" s="2"/>
      <c r="E40" s="2" t="str">
        <f>IF(D40="","",VLOOKUP(D40,'Conversion Tables'!$A$2:$B$18,2,TRUE))</f>
        <v/>
      </c>
      <c r="F40" s="2"/>
      <c r="G40" s="2"/>
      <c r="H40" s="2" t="str">
        <f t="shared" si="2"/>
        <v/>
      </c>
      <c r="I40" s="2" t="str">
        <f t="shared" si="3"/>
        <v/>
      </c>
    </row>
    <row r="41" spans="1:9">
      <c r="A41" s="2"/>
      <c r="B41" s="2"/>
      <c r="C41" s="2" t="str">
        <f>IF(B41="","",VLOOKUP(B41,'Conversion Tables'!$A$21:$B$37,2,TRUE))</f>
        <v/>
      </c>
      <c r="D41" s="2"/>
      <c r="E41" s="2" t="str">
        <f>IF(D41="","",VLOOKUP(D41,'Conversion Tables'!$A$2:$B$18,2,TRUE))</f>
        <v/>
      </c>
      <c r="F41" s="2"/>
      <c r="G41" s="2"/>
      <c r="H41" s="2" t="str">
        <f t="shared" si="2"/>
        <v/>
      </c>
      <c r="I41" s="2" t="str">
        <f t="shared" si="3"/>
        <v/>
      </c>
    </row>
    <row r="42" spans="1:9">
      <c r="A42" s="2"/>
      <c r="B42" s="2"/>
      <c r="C42" s="2" t="str">
        <f>IF(B42="","",VLOOKUP(B42,'Conversion Tables'!$A$21:$B$37,2,TRUE))</f>
        <v/>
      </c>
      <c r="D42" s="2"/>
      <c r="E42" s="2" t="str">
        <f>IF(D42="","",VLOOKUP(D42,'Conversion Tables'!$A$2:$B$18,2,TRUE))</f>
        <v/>
      </c>
      <c r="F42" s="2"/>
      <c r="G42" s="2"/>
      <c r="H42" s="2" t="str">
        <f t="shared" si="2"/>
        <v/>
      </c>
      <c r="I42" s="2" t="str">
        <f t="shared" si="3"/>
        <v/>
      </c>
    </row>
    <row r="43" spans="1:9">
      <c r="A43" s="2"/>
      <c r="B43" s="2"/>
      <c r="C43" s="2" t="str">
        <f>IF(B43="","",VLOOKUP(B43,'Conversion Tables'!$A$21:$B$37,2,TRUE))</f>
        <v/>
      </c>
      <c r="D43" s="2"/>
      <c r="E43" s="2" t="str">
        <f>IF(D43="","",VLOOKUP(D43,'Conversion Tables'!$A$2:$B$18,2,TRUE))</f>
        <v/>
      </c>
      <c r="F43" s="2"/>
      <c r="G43" s="2"/>
      <c r="H43" s="2" t="str">
        <f t="shared" si="2"/>
        <v/>
      </c>
      <c r="I43" s="2" t="str">
        <f t="shared" si="3"/>
        <v/>
      </c>
    </row>
    <row r="44" spans="1:9">
      <c r="A44" s="2"/>
      <c r="B44" s="2"/>
      <c r="C44" s="2" t="str">
        <f>IF(B44="","",VLOOKUP(B44,'Conversion Tables'!$A$21:$B$37,2,TRUE))</f>
        <v/>
      </c>
      <c r="D44" s="2"/>
      <c r="E44" s="2" t="str">
        <f>IF(D44="","",VLOOKUP(D44,'Conversion Tables'!$A$2:$B$18,2,TRUE))</f>
        <v/>
      </c>
      <c r="F44" s="2"/>
      <c r="G44" s="2"/>
      <c r="H44" s="2" t="str">
        <f t="shared" si="2"/>
        <v/>
      </c>
      <c r="I44" s="2" t="str">
        <f t="shared" si="3"/>
        <v/>
      </c>
    </row>
    <row r="45" spans="1:9">
      <c r="A45" s="2"/>
      <c r="B45" s="2"/>
      <c r="C45" s="2" t="str">
        <f>IF(B45="","",VLOOKUP(B45,'Conversion Tables'!$A$21:$B$37,2,TRUE))</f>
        <v/>
      </c>
      <c r="D45" s="2"/>
      <c r="E45" s="2" t="str">
        <f>IF(D45="","",VLOOKUP(D45,'Conversion Tables'!$A$2:$B$18,2,TRUE))</f>
        <v/>
      </c>
      <c r="F45" s="2"/>
      <c r="G45" s="2"/>
      <c r="H45" s="2" t="str">
        <f t="shared" si="2"/>
        <v/>
      </c>
      <c r="I45" s="2" t="str">
        <f t="shared" si="3"/>
        <v/>
      </c>
    </row>
    <row r="46" spans="1:9">
      <c r="A46" s="2"/>
      <c r="B46" s="2"/>
      <c r="C46" s="2" t="str">
        <f>IF(B46="","",VLOOKUP(B46,'Conversion Tables'!$A$21:$B$37,2,TRUE))</f>
        <v/>
      </c>
      <c r="D46" s="2"/>
      <c r="E46" s="2" t="str">
        <f>IF(D46="","",VLOOKUP(D46,'Conversion Tables'!$A$2:$B$18,2,TRUE))</f>
        <v/>
      </c>
      <c r="F46" s="2"/>
      <c r="G46" s="2"/>
      <c r="H46" s="2" t="str">
        <f t="shared" si="2"/>
        <v/>
      </c>
      <c r="I46" s="2" t="str">
        <f t="shared" si="3"/>
        <v/>
      </c>
    </row>
    <row r="47" spans="1:9">
      <c r="A47" s="2"/>
      <c r="B47" s="2"/>
      <c r="C47" s="2" t="str">
        <f>IF(B47="","",VLOOKUP(B47,'Conversion Tables'!$A$21:$B$37,2,TRUE))</f>
        <v/>
      </c>
      <c r="D47" s="2"/>
      <c r="E47" s="2" t="str">
        <f>IF(D47="","",VLOOKUP(D47,'Conversion Tables'!$A$2:$B$18,2,TRUE))</f>
        <v/>
      </c>
      <c r="F47" s="2"/>
      <c r="G47" s="2"/>
      <c r="H47" s="2" t="str">
        <f t="shared" si="2"/>
        <v/>
      </c>
      <c r="I47" s="2" t="str">
        <f t="shared" si="3"/>
        <v/>
      </c>
    </row>
    <row r="48" spans="1:9">
      <c r="A48" s="2"/>
      <c r="B48" s="2"/>
      <c r="C48" s="2" t="str">
        <f>IF(B48="","",VLOOKUP(B48,'Conversion Tables'!$A$21:$B$37,2,TRUE))</f>
        <v/>
      </c>
      <c r="D48" s="2"/>
      <c r="E48" s="2" t="str">
        <f>IF(D48="","",VLOOKUP(D48,'Conversion Tables'!$A$2:$B$18,2,TRUE))</f>
        <v/>
      </c>
      <c r="F48" s="2"/>
      <c r="G48" s="2"/>
      <c r="H48" s="2" t="str">
        <f t="shared" si="2"/>
        <v/>
      </c>
      <c r="I48" s="2" t="str">
        <f t="shared" si="3"/>
        <v/>
      </c>
    </row>
    <row r="49" spans="1:9">
      <c r="A49" s="2"/>
      <c r="B49" s="2"/>
      <c r="C49" s="2" t="str">
        <f>IF(B49="","",VLOOKUP(B49,'Conversion Tables'!$A$21:$B$37,2,TRUE))</f>
        <v/>
      </c>
      <c r="D49" s="2"/>
      <c r="E49" s="2" t="str">
        <f>IF(D49="","",VLOOKUP(D49,'Conversion Tables'!$A$2:$B$18,2,TRUE))</f>
        <v/>
      </c>
      <c r="F49" s="2"/>
      <c r="G49" s="2"/>
      <c r="H49" s="2" t="str">
        <f t="shared" si="2"/>
        <v/>
      </c>
      <c r="I49" s="2" t="str">
        <f t="shared" si="3"/>
        <v/>
      </c>
    </row>
    <row r="50" spans="1:9">
      <c r="A50" s="2"/>
      <c r="B50" s="2"/>
      <c r="C50" s="2" t="str">
        <f>IF(B50="","",VLOOKUP(B50,'Conversion Tables'!$A$21:$B$37,2,TRUE))</f>
        <v/>
      </c>
      <c r="D50" s="2"/>
      <c r="E50" s="2" t="str">
        <f>IF(D50="","",VLOOKUP(D50,'Conversion Tables'!$A$2:$B$18,2,TRUE))</f>
        <v/>
      </c>
      <c r="F50" s="2"/>
      <c r="G50" s="2"/>
      <c r="H50" s="2" t="str">
        <f t="shared" si="2"/>
        <v/>
      </c>
      <c r="I50" s="2" t="str">
        <f t="shared" si="3"/>
        <v/>
      </c>
    </row>
    <row r="51" spans="1:9">
      <c r="A51" s="2"/>
      <c r="B51" s="2"/>
      <c r="C51" s="2" t="str">
        <f>IF(B51="","",VLOOKUP(B51,'Conversion Tables'!$A$21:$B$37,2,TRUE))</f>
        <v/>
      </c>
      <c r="D51" s="2"/>
      <c r="E51" s="2" t="str">
        <f>IF(D51="","",VLOOKUP(D51,'Conversion Tables'!$A$2:$B$18,2,TRUE))</f>
        <v/>
      </c>
      <c r="F51" s="2"/>
      <c r="G51" s="2"/>
      <c r="H51" s="2" t="str">
        <f t="shared" si="2"/>
        <v/>
      </c>
      <c r="I51" s="2" t="str">
        <f t="shared" si="3"/>
        <v/>
      </c>
    </row>
    <row r="52" spans="1:9">
      <c r="A52" s="2"/>
      <c r="B52" s="2"/>
      <c r="C52" s="2" t="str">
        <f>IF(B52="","",VLOOKUP(B52,'Conversion Tables'!$A$21:$B$37,2,TRUE))</f>
        <v/>
      </c>
      <c r="D52" s="2"/>
      <c r="E52" s="2" t="str">
        <f>IF(D52="","",VLOOKUP(D52,'Conversion Tables'!$A$2:$B$18,2,TRUE))</f>
        <v/>
      </c>
      <c r="F52" s="2"/>
      <c r="G52" s="2"/>
      <c r="H52" s="2" t="str">
        <f t="shared" si="2"/>
        <v/>
      </c>
      <c r="I52" s="2" t="str">
        <f t="shared" si="3"/>
        <v/>
      </c>
    </row>
    <row r="53" spans="1:9">
      <c r="A53" s="2"/>
      <c r="B53" s="2"/>
      <c r="C53" s="2" t="str">
        <f>IF(B53="","",VLOOKUP(B53,'Conversion Tables'!$A$21:$B$37,2,TRUE))</f>
        <v/>
      </c>
      <c r="D53" s="2"/>
      <c r="E53" s="2" t="str">
        <f>IF(D53="","",VLOOKUP(D53,'Conversion Tables'!$A$2:$B$18,2,TRUE))</f>
        <v/>
      </c>
      <c r="F53" s="2"/>
      <c r="G53" s="2"/>
      <c r="H53" s="2" t="str">
        <f t="shared" si="2"/>
        <v/>
      </c>
      <c r="I53" s="2" t="str">
        <f t="shared" si="3"/>
        <v/>
      </c>
    </row>
    <row r="54" spans="1:9">
      <c r="A54" s="2"/>
      <c r="B54" s="2"/>
      <c r="C54" s="2" t="str">
        <f>IF(B54="","",VLOOKUP(B54,'Conversion Tables'!$A$21:$B$37,2,TRUE))</f>
        <v/>
      </c>
      <c r="D54" s="2"/>
      <c r="E54" s="2" t="str">
        <f>IF(D54="","",VLOOKUP(D54,'Conversion Tables'!$A$2:$B$18,2,TRUE))</f>
        <v/>
      </c>
      <c r="F54" s="2"/>
      <c r="G54" s="2"/>
      <c r="H54" s="2" t="str">
        <f t="shared" si="2"/>
        <v/>
      </c>
      <c r="I54" s="2" t="str">
        <f t="shared" si="3"/>
        <v/>
      </c>
    </row>
    <row r="55" spans="1:9">
      <c r="A55" s="2"/>
      <c r="B55" s="2"/>
      <c r="C55" s="2" t="str">
        <f>IF(B55="","",VLOOKUP(B55,'Conversion Tables'!$A$21:$B$37,2,TRUE))</f>
        <v/>
      </c>
      <c r="D55" s="2"/>
      <c r="E55" s="2" t="str">
        <f>IF(D55="","",VLOOKUP(D55,'Conversion Tables'!$A$2:$B$18,2,TRUE))</f>
        <v/>
      </c>
      <c r="F55" s="2"/>
      <c r="G55" s="2"/>
      <c r="H55" s="2" t="str">
        <f t="shared" si="2"/>
        <v/>
      </c>
      <c r="I55" s="2" t="str">
        <f t="shared" si="3"/>
        <v/>
      </c>
    </row>
    <row r="56" spans="1:9">
      <c r="A56" s="2"/>
      <c r="B56" s="2"/>
      <c r="C56" s="2" t="str">
        <f>IF(B56="","",VLOOKUP(B56,'Conversion Tables'!$A$21:$B$37,2,TRUE))</f>
        <v/>
      </c>
      <c r="D56" s="2"/>
      <c r="E56" s="2" t="str">
        <f>IF(D56="","",VLOOKUP(D56,'Conversion Tables'!$A$2:$B$18,2,TRUE))</f>
        <v/>
      </c>
      <c r="F56" s="2"/>
      <c r="G56" s="2"/>
      <c r="H56" s="2" t="str">
        <f t="shared" si="2"/>
        <v/>
      </c>
      <c r="I56" s="2" t="str">
        <f t="shared" si="3"/>
        <v/>
      </c>
    </row>
    <row r="57" spans="1:9">
      <c r="A57" s="2"/>
      <c r="B57" s="2"/>
      <c r="C57" s="2" t="str">
        <f>IF(B57="","",VLOOKUP(B57,'Conversion Tables'!$A$21:$B$37,2,TRUE))</f>
        <v/>
      </c>
      <c r="D57" s="2"/>
      <c r="E57" s="2" t="str">
        <f>IF(D57="","",VLOOKUP(D57,'Conversion Tables'!$A$2:$B$18,2,TRUE))</f>
        <v/>
      </c>
      <c r="F57" s="2"/>
      <c r="G57" s="2"/>
      <c r="H57" s="2" t="str">
        <f t="shared" si="2"/>
        <v/>
      </c>
      <c r="I57" s="2" t="str">
        <f t="shared" si="3"/>
        <v/>
      </c>
    </row>
    <row r="58" spans="1:9">
      <c r="A58" s="2"/>
      <c r="B58" s="2"/>
      <c r="C58" s="2" t="str">
        <f>IF(B58="","",VLOOKUP(B58,'Conversion Tables'!$A$21:$B$37,2,TRUE))</f>
        <v/>
      </c>
      <c r="D58" s="2"/>
      <c r="E58" s="2" t="str">
        <f>IF(D58="","",VLOOKUP(D58,'Conversion Tables'!$A$2:$B$18,2,TRUE))</f>
        <v/>
      </c>
      <c r="F58" s="2"/>
      <c r="G58" s="2"/>
      <c r="H58" s="2" t="str">
        <f t="shared" si="2"/>
        <v/>
      </c>
      <c r="I58" s="2" t="str">
        <f t="shared" si="3"/>
        <v/>
      </c>
    </row>
    <row r="59" spans="1:9">
      <c r="A59" s="2"/>
      <c r="B59" s="2"/>
      <c r="C59" s="2" t="str">
        <f>IF(B59="","",VLOOKUP(B59,'Conversion Tables'!$A$21:$B$37,2,TRUE))</f>
        <v/>
      </c>
      <c r="D59" s="2"/>
      <c r="E59" s="2" t="str">
        <f>IF(D59="","",VLOOKUP(D59,'Conversion Tables'!$A$2:$B$18,2,TRUE))</f>
        <v/>
      </c>
      <c r="F59" s="2"/>
      <c r="G59" s="2"/>
      <c r="H59" s="2" t="str">
        <f t="shared" si="2"/>
        <v/>
      </c>
      <c r="I59" s="2" t="str">
        <f t="shared" si="3"/>
        <v/>
      </c>
    </row>
    <row r="60" spans="1:9">
      <c r="A60" s="2"/>
      <c r="B60" s="2"/>
      <c r="C60" s="2" t="str">
        <f>IF(B60="","",VLOOKUP(B60,'Conversion Tables'!$A$21:$B$37,2,TRUE))</f>
        <v/>
      </c>
      <c r="D60" s="2"/>
      <c r="E60" s="2" t="str">
        <f>IF(D60="","",VLOOKUP(D60,'Conversion Tables'!$A$2:$B$18,2,TRUE))</f>
        <v/>
      </c>
      <c r="F60" s="2"/>
      <c r="G60" s="2"/>
      <c r="H60" s="2" t="str">
        <f t="shared" si="2"/>
        <v/>
      </c>
      <c r="I60" s="2" t="str">
        <f t="shared" si="3"/>
        <v/>
      </c>
    </row>
    <row r="61" spans="1:9">
      <c r="A61" s="2"/>
      <c r="B61" s="2"/>
      <c r="C61" s="2" t="str">
        <f>IF(B61="","",VLOOKUP(B61,'Conversion Tables'!$A$21:$B$37,2,TRUE))</f>
        <v/>
      </c>
      <c r="D61" s="2"/>
      <c r="E61" s="2" t="str">
        <f>IF(D61="","",VLOOKUP(D61,'Conversion Tables'!$A$2:$B$18,2,TRUE))</f>
        <v/>
      </c>
      <c r="F61" s="2"/>
      <c r="G61" s="2"/>
      <c r="H61" s="2" t="str">
        <f t="shared" si="2"/>
        <v/>
      </c>
      <c r="I61" s="2" t="str">
        <f t="shared" si="3"/>
        <v/>
      </c>
    </row>
    <row r="62" spans="1:9">
      <c r="A62" s="2"/>
      <c r="B62" s="2"/>
      <c r="C62" s="2" t="str">
        <f>IF(B62="","",VLOOKUP(B62,'Conversion Tables'!$A$21:$B$37,2,TRUE))</f>
        <v/>
      </c>
      <c r="D62" s="2"/>
      <c r="E62" s="2" t="str">
        <f>IF(D62="","",VLOOKUP(D62,'Conversion Tables'!$A$2:$B$18,2,TRUE))</f>
        <v/>
      </c>
      <c r="F62" s="2"/>
      <c r="G62" s="2"/>
      <c r="H62" s="2" t="str">
        <f t="shared" si="2"/>
        <v/>
      </c>
      <c r="I62" s="2" t="str">
        <f t="shared" si="3"/>
        <v/>
      </c>
    </row>
    <row r="63" spans="1:9">
      <c r="A63" s="2"/>
      <c r="B63" s="2"/>
      <c r="C63" s="2" t="str">
        <f>IF(B63="","",VLOOKUP(B63,'Conversion Tables'!$A$21:$B$37,2,TRUE))</f>
        <v/>
      </c>
      <c r="D63" s="2"/>
      <c r="E63" s="2" t="str">
        <f>IF(D63="","",VLOOKUP(D63,'Conversion Tables'!$A$2:$B$18,2,TRUE))</f>
        <v/>
      </c>
      <c r="F63" s="2"/>
      <c r="G63" s="2"/>
      <c r="H63" s="2" t="str">
        <f t="shared" si="2"/>
        <v/>
      </c>
      <c r="I63" s="2" t="str">
        <f t="shared" si="3"/>
        <v/>
      </c>
    </row>
    <row r="64" spans="1:9">
      <c r="A64" s="2"/>
      <c r="B64" s="2"/>
      <c r="C64" s="2" t="str">
        <f>IF(B64="","",VLOOKUP(B64,'Conversion Tables'!$A$21:$B$37,2,TRUE))</f>
        <v/>
      </c>
      <c r="D64" s="2"/>
      <c r="E64" s="2" t="str">
        <f>IF(D64="","",VLOOKUP(D64,'Conversion Tables'!$A$2:$B$18,2,TRUE))</f>
        <v/>
      </c>
      <c r="F64" s="2"/>
      <c r="G64" s="2"/>
      <c r="H64" s="2" t="str">
        <f t="shared" si="2"/>
        <v/>
      </c>
      <c r="I64" s="2" t="str">
        <f t="shared" si="3"/>
        <v/>
      </c>
    </row>
    <row r="65" spans="1:9">
      <c r="A65" s="2"/>
      <c r="B65" s="2"/>
      <c r="C65" s="2" t="str">
        <f>IF(B65="","",VLOOKUP(B65,'Conversion Tables'!$A$21:$B$37,2,TRUE))</f>
        <v/>
      </c>
      <c r="D65" s="2"/>
      <c r="E65" s="2" t="str">
        <f>IF(D65="","",VLOOKUP(D65,'Conversion Tables'!$A$2:$B$18,2,TRUE))</f>
        <v/>
      </c>
      <c r="F65" s="2"/>
      <c r="G65" s="2"/>
      <c r="H65" s="2" t="str">
        <f t="shared" si="2"/>
        <v/>
      </c>
      <c r="I65" s="2" t="str">
        <f t="shared" si="3"/>
        <v/>
      </c>
    </row>
    <row r="66" spans="1:9">
      <c r="A66" s="2"/>
      <c r="B66" s="2"/>
      <c r="C66" s="2" t="str">
        <f>IF(B66="","",VLOOKUP(B66,'Conversion Tables'!$A$21:$B$37,2,TRUE))</f>
        <v/>
      </c>
      <c r="D66" s="2"/>
      <c r="E66" s="2" t="str">
        <f>IF(D66="","",VLOOKUP(D66,'Conversion Tables'!$A$2:$B$18,2,TRUE))</f>
        <v/>
      </c>
      <c r="F66" s="2"/>
      <c r="G66" s="2"/>
      <c r="H66" s="2" t="str">
        <f t="shared" ref="H66:H97" si="4">IF(AND(C66="",E66="",F66="",G66=""),"",ROUND(AVERAGE(C66,E66,F66,G66)*2,0)/2)</f>
        <v/>
      </c>
      <c r="I66" s="2" t="str">
        <f t="shared" ref="I66:I97" si="5">IF(H66="","",IF(H66=6,5,IF(H66=6.5,10,IF(H66=7,15,IF(H66=7.5,20,IF(H66=8,30,0))))))</f>
        <v/>
      </c>
    </row>
    <row r="67" spans="1:9">
      <c r="A67" s="2"/>
      <c r="B67" s="2"/>
      <c r="C67" s="2" t="str">
        <f>IF(B67="","",VLOOKUP(B67,'Conversion Tables'!$A$21:$B$37,2,TRUE))</f>
        <v/>
      </c>
      <c r="D67" s="2"/>
      <c r="E67" s="2" t="str">
        <f>IF(D67="","",VLOOKUP(D67,'Conversion Tables'!$A$2:$B$18,2,TRUE))</f>
        <v/>
      </c>
      <c r="F67" s="2"/>
      <c r="G67" s="2"/>
      <c r="H67" s="2" t="str">
        <f t="shared" si="4"/>
        <v/>
      </c>
      <c r="I67" s="2" t="str">
        <f t="shared" si="5"/>
        <v/>
      </c>
    </row>
    <row r="68" spans="1:9">
      <c r="A68" s="2"/>
      <c r="B68" s="2"/>
      <c r="C68" s="2" t="str">
        <f>IF(B68="","",VLOOKUP(B68,'Conversion Tables'!$A$21:$B$37,2,TRUE))</f>
        <v/>
      </c>
      <c r="D68" s="2"/>
      <c r="E68" s="2" t="str">
        <f>IF(D68="","",VLOOKUP(D68,'Conversion Tables'!$A$2:$B$18,2,TRUE))</f>
        <v/>
      </c>
      <c r="F68" s="2"/>
      <c r="G68" s="2"/>
      <c r="H68" s="2" t="str">
        <f t="shared" si="4"/>
        <v/>
      </c>
      <c r="I68" s="2" t="str">
        <f t="shared" si="5"/>
        <v/>
      </c>
    </row>
    <row r="69" spans="1:9">
      <c r="A69" s="2"/>
      <c r="B69" s="2"/>
      <c r="C69" s="2" t="str">
        <f>IF(B69="","",VLOOKUP(B69,'Conversion Tables'!$A$21:$B$37,2,TRUE))</f>
        <v/>
      </c>
      <c r="D69" s="2"/>
      <c r="E69" s="2" t="str">
        <f>IF(D69="","",VLOOKUP(D69,'Conversion Tables'!$A$2:$B$18,2,TRUE))</f>
        <v/>
      </c>
      <c r="F69" s="2"/>
      <c r="G69" s="2"/>
      <c r="H69" s="2" t="str">
        <f t="shared" si="4"/>
        <v/>
      </c>
      <c r="I69" s="2" t="str">
        <f t="shared" si="5"/>
        <v/>
      </c>
    </row>
    <row r="70" spans="1:9">
      <c r="A70" s="2"/>
      <c r="B70" s="2"/>
      <c r="C70" s="2" t="str">
        <f>IF(B70="","",VLOOKUP(B70,'Conversion Tables'!$A$21:$B$37,2,TRUE))</f>
        <v/>
      </c>
      <c r="D70" s="2"/>
      <c r="E70" s="2" t="str">
        <f>IF(D70="","",VLOOKUP(D70,'Conversion Tables'!$A$2:$B$18,2,TRUE))</f>
        <v/>
      </c>
      <c r="F70" s="2"/>
      <c r="G70" s="2"/>
      <c r="H70" s="2" t="str">
        <f t="shared" si="4"/>
        <v/>
      </c>
      <c r="I70" s="2" t="str">
        <f t="shared" si="5"/>
        <v/>
      </c>
    </row>
    <row r="71" spans="1:9">
      <c r="A71" s="2"/>
      <c r="B71" s="2"/>
      <c r="C71" s="2" t="str">
        <f>IF(B71="","",VLOOKUP(B71,'Conversion Tables'!$A$21:$B$37,2,TRUE))</f>
        <v/>
      </c>
      <c r="D71" s="2"/>
      <c r="E71" s="2" t="str">
        <f>IF(D71="","",VLOOKUP(D71,'Conversion Tables'!$A$2:$B$18,2,TRUE))</f>
        <v/>
      </c>
      <c r="F71" s="2"/>
      <c r="G71" s="2"/>
      <c r="H71" s="2" t="str">
        <f t="shared" si="4"/>
        <v/>
      </c>
      <c r="I71" s="2" t="str">
        <f t="shared" si="5"/>
        <v/>
      </c>
    </row>
    <row r="72" spans="1:9">
      <c r="A72" s="2"/>
      <c r="B72" s="2"/>
      <c r="C72" s="2" t="str">
        <f>IF(B72="","",VLOOKUP(B72,'Conversion Tables'!$A$21:$B$37,2,TRUE))</f>
        <v/>
      </c>
      <c r="D72" s="2"/>
      <c r="E72" s="2" t="str">
        <f>IF(D72="","",VLOOKUP(D72,'Conversion Tables'!$A$2:$B$18,2,TRUE))</f>
        <v/>
      </c>
      <c r="F72" s="2"/>
      <c r="G72" s="2"/>
      <c r="H72" s="2" t="str">
        <f t="shared" si="4"/>
        <v/>
      </c>
      <c r="I72" s="2" t="str">
        <f t="shared" si="5"/>
        <v/>
      </c>
    </row>
    <row r="73" spans="1:9">
      <c r="A73" s="2"/>
      <c r="B73" s="2"/>
      <c r="C73" s="2" t="str">
        <f>IF(B73="","",VLOOKUP(B73,'Conversion Tables'!$A$21:$B$37,2,TRUE))</f>
        <v/>
      </c>
      <c r="D73" s="2"/>
      <c r="E73" s="2" t="str">
        <f>IF(D73="","",VLOOKUP(D73,'Conversion Tables'!$A$2:$B$18,2,TRUE))</f>
        <v/>
      </c>
      <c r="F73" s="2"/>
      <c r="G73" s="2"/>
      <c r="H73" s="2" t="str">
        <f t="shared" si="4"/>
        <v/>
      </c>
      <c r="I73" s="2" t="str">
        <f t="shared" si="5"/>
        <v/>
      </c>
    </row>
    <row r="74" spans="1:9">
      <c r="A74" s="2"/>
      <c r="B74" s="2"/>
      <c r="C74" s="2" t="str">
        <f>IF(B74="","",VLOOKUP(B74,'Conversion Tables'!$A$21:$B$37,2,TRUE))</f>
        <v/>
      </c>
      <c r="D74" s="2"/>
      <c r="E74" s="2" t="str">
        <f>IF(D74="","",VLOOKUP(D74,'Conversion Tables'!$A$2:$B$18,2,TRUE))</f>
        <v/>
      </c>
      <c r="F74" s="2"/>
      <c r="G74" s="2"/>
      <c r="H74" s="2" t="str">
        <f t="shared" si="4"/>
        <v/>
      </c>
      <c r="I74" s="2" t="str">
        <f t="shared" si="5"/>
        <v/>
      </c>
    </row>
    <row r="75" spans="1:9">
      <c r="A75" s="2"/>
      <c r="B75" s="2"/>
      <c r="C75" s="2" t="str">
        <f>IF(B75="","",VLOOKUP(B75,'Conversion Tables'!$A$21:$B$37,2,TRUE))</f>
        <v/>
      </c>
      <c r="D75" s="2"/>
      <c r="E75" s="2" t="str">
        <f>IF(D75="","",VLOOKUP(D75,'Conversion Tables'!$A$2:$B$18,2,TRUE))</f>
        <v/>
      </c>
      <c r="F75" s="2"/>
      <c r="G75" s="2"/>
      <c r="H75" s="2" t="str">
        <f t="shared" si="4"/>
        <v/>
      </c>
      <c r="I75" s="2" t="str">
        <f t="shared" si="5"/>
        <v/>
      </c>
    </row>
    <row r="76" spans="1:9">
      <c r="A76" s="2"/>
      <c r="B76" s="2"/>
      <c r="C76" s="2" t="str">
        <f>IF(B76="","",VLOOKUP(B76,'Conversion Tables'!$A$21:$B$37,2,TRUE))</f>
        <v/>
      </c>
      <c r="D76" s="2"/>
      <c r="E76" s="2" t="str">
        <f>IF(D76="","",VLOOKUP(D76,'Conversion Tables'!$A$2:$B$18,2,TRUE))</f>
        <v/>
      </c>
      <c r="F76" s="2"/>
      <c r="G76" s="2"/>
      <c r="H76" s="2" t="str">
        <f t="shared" si="4"/>
        <v/>
      </c>
      <c r="I76" s="2" t="str">
        <f t="shared" si="5"/>
        <v/>
      </c>
    </row>
    <row r="77" spans="1:9">
      <c r="A77" s="2"/>
      <c r="B77" s="2"/>
      <c r="C77" s="2" t="str">
        <f>IF(B77="","",VLOOKUP(B77,'Conversion Tables'!$A$21:$B$37,2,TRUE))</f>
        <v/>
      </c>
      <c r="D77" s="2"/>
      <c r="E77" s="2" t="str">
        <f>IF(D77="","",VLOOKUP(D77,'Conversion Tables'!$A$2:$B$18,2,TRUE))</f>
        <v/>
      </c>
      <c r="F77" s="2"/>
      <c r="G77" s="2"/>
      <c r="H77" s="2" t="str">
        <f t="shared" si="4"/>
        <v/>
      </c>
      <c r="I77" s="2" t="str">
        <f t="shared" si="5"/>
        <v/>
      </c>
    </row>
    <row r="78" spans="1:9">
      <c r="A78" s="2"/>
      <c r="B78" s="2"/>
      <c r="C78" s="2" t="str">
        <f>IF(B78="","",VLOOKUP(B78,'Conversion Tables'!$A$21:$B$37,2,TRUE))</f>
        <v/>
      </c>
      <c r="D78" s="2"/>
      <c r="E78" s="2" t="str">
        <f>IF(D78="","",VLOOKUP(D78,'Conversion Tables'!$A$2:$B$18,2,TRUE))</f>
        <v/>
      </c>
      <c r="F78" s="2"/>
      <c r="G78" s="2"/>
      <c r="H78" s="2" t="str">
        <f t="shared" si="4"/>
        <v/>
      </c>
      <c r="I78" s="2" t="str">
        <f t="shared" si="5"/>
        <v/>
      </c>
    </row>
    <row r="79" spans="1:9">
      <c r="A79" s="2"/>
      <c r="B79" s="2"/>
      <c r="C79" s="2" t="str">
        <f>IF(B79="","",VLOOKUP(B79,'Conversion Tables'!$A$21:$B$37,2,TRUE))</f>
        <v/>
      </c>
      <c r="D79" s="2"/>
      <c r="E79" s="2" t="str">
        <f>IF(D79="","",VLOOKUP(D79,'Conversion Tables'!$A$2:$B$18,2,TRUE))</f>
        <v/>
      </c>
      <c r="F79" s="2"/>
      <c r="G79" s="2"/>
      <c r="H79" s="2" t="str">
        <f t="shared" si="4"/>
        <v/>
      </c>
      <c r="I79" s="2" t="str">
        <f t="shared" si="5"/>
        <v/>
      </c>
    </row>
    <row r="80" spans="1:9">
      <c r="A80" s="2"/>
      <c r="B80" s="2"/>
      <c r="C80" s="2" t="str">
        <f>IF(B80="","",VLOOKUP(B80,'Conversion Tables'!$A$21:$B$37,2,TRUE))</f>
        <v/>
      </c>
      <c r="D80" s="2"/>
      <c r="E80" s="2" t="str">
        <f>IF(D80="","",VLOOKUP(D80,'Conversion Tables'!$A$2:$B$18,2,TRUE))</f>
        <v/>
      </c>
      <c r="F80" s="2"/>
      <c r="G80" s="2"/>
      <c r="H80" s="2" t="str">
        <f t="shared" si="4"/>
        <v/>
      </c>
      <c r="I80" s="2" t="str">
        <f t="shared" si="5"/>
        <v/>
      </c>
    </row>
    <row r="81" spans="1:9">
      <c r="A81" s="2"/>
      <c r="B81" s="2"/>
      <c r="C81" s="2" t="str">
        <f>IF(B81="","",VLOOKUP(B81,'Conversion Tables'!$A$21:$B$37,2,TRUE))</f>
        <v/>
      </c>
      <c r="D81" s="2"/>
      <c r="E81" s="2" t="str">
        <f>IF(D81="","",VLOOKUP(D81,'Conversion Tables'!$A$2:$B$18,2,TRUE))</f>
        <v/>
      </c>
      <c r="F81" s="2"/>
      <c r="G81" s="2"/>
      <c r="H81" s="2" t="str">
        <f t="shared" si="4"/>
        <v/>
      </c>
      <c r="I81" s="2" t="str">
        <f t="shared" si="5"/>
        <v/>
      </c>
    </row>
    <row r="82" spans="1:9">
      <c r="A82" s="2"/>
      <c r="B82" s="2"/>
      <c r="C82" s="2" t="str">
        <f>IF(B82="","",VLOOKUP(B82,'Conversion Tables'!$A$21:$B$37,2,TRUE))</f>
        <v/>
      </c>
      <c r="D82" s="2"/>
      <c r="E82" s="2" t="str">
        <f>IF(D82="","",VLOOKUP(D82,'Conversion Tables'!$A$2:$B$18,2,TRUE))</f>
        <v/>
      </c>
      <c r="F82" s="2"/>
      <c r="G82" s="2"/>
      <c r="H82" s="2" t="str">
        <f t="shared" si="4"/>
        <v/>
      </c>
      <c r="I82" s="2" t="str">
        <f t="shared" si="5"/>
        <v/>
      </c>
    </row>
    <row r="83" spans="1:9">
      <c r="A83" s="2"/>
      <c r="B83" s="2"/>
      <c r="C83" s="2" t="str">
        <f>IF(B83="","",VLOOKUP(B83,'Conversion Tables'!$A$21:$B$37,2,TRUE))</f>
        <v/>
      </c>
      <c r="D83" s="2"/>
      <c r="E83" s="2" t="str">
        <f>IF(D83="","",VLOOKUP(D83,'Conversion Tables'!$A$2:$B$18,2,TRUE))</f>
        <v/>
      </c>
      <c r="F83" s="2"/>
      <c r="G83" s="2"/>
      <c r="H83" s="2" t="str">
        <f t="shared" si="4"/>
        <v/>
      </c>
      <c r="I83" s="2" t="str">
        <f t="shared" si="5"/>
        <v/>
      </c>
    </row>
    <row r="84" spans="1:9">
      <c r="A84" s="2"/>
      <c r="B84" s="2"/>
      <c r="C84" s="2" t="str">
        <f>IF(B84="","",VLOOKUP(B84,'Conversion Tables'!$A$21:$B$37,2,TRUE))</f>
        <v/>
      </c>
      <c r="D84" s="2"/>
      <c r="E84" s="2" t="str">
        <f>IF(D84="","",VLOOKUP(D84,'Conversion Tables'!$A$2:$B$18,2,TRUE))</f>
        <v/>
      </c>
      <c r="F84" s="2"/>
      <c r="G84" s="2"/>
      <c r="H84" s="2" t="str">
        <f t="shared" si="4"/>
        <v/>
      </c>
      <c r="I84" s="2" t="str">
        <f t="shared" si="5"/>
        <v/>
      </c>
    </row>
    <row r="85" spans="1:9">
      <c r="A85" s="2"/>
      <c r="B85" s="2"/>
      <c r="C85" s="2" t="str">
        <f>IF(B85="","",VLOOKUP(B85,'Conversion Tables'!$A$21:$B$37,2,TRUE))</f>
        <v/>
      </c>
      <c r="D85" s="2"/>
      <c r="E85" s="2" t="str">
        <f>IF(D85="","",VLOOKUP(D85,'Conversion Tables'!$A$2:$B$18,2,TRUE))</f>
        <v/>
      </c>
      <c r="F85" s="2"/>
      <c r="G85" s="2"/>
      <c r="H85" s="2" t="str">
        <f t="shared" si="4"/>
        <v/>
      </c>
      <c r="I85" s="2" t="str">
        <f t="shared" si="5"/>
        <v/>
      </c>
    </row>
    <row r="86" spans="1:9">
      <c r="A86" s="2"/>
      <c r="B86" s="2"/>
      <c r="C86" s="2" t="str">
        <f>IF(B86="","",VLOOKUP(B86,'Conversion Tables'!$A$21:$B$37,2,TRUE))</f>
        <v/>
      </c>
      <c r="D86" s="2"/>
      <c r="E86" s="2" t="str">
        <f>IF(D86="","",VLOOKUP(D86,'Conversion Tables'!$A$2:$B$18,2,TRUE))</f>
        <v/>
      </c>
      <c r="F86" s="2"/>
      <c r="G86" s="2"/>
      <c r="H86" s="2" t="str">
        <f t="shared" si="4"/>
        <v/>
      </c>
      <c r="I86" s="2" t="str">
        <f t="shared" si="5"/>
        <v/>
      </c>
    </row>
    <row r="87" spans="1:9">
      <c r="A87" s="2"/>
      <c r="B87" s="2"/>
      <c r="C87" s="2" t="str">
        <f>IF(B87="","",VLOOKUP(B87,'Conversion Tables'!$A$21:$B$37,2,TRUE))</f>
        <v/>
      </c>
      <c r="D87" s="2"/>
      <c r="E87" s="2" t="str">
        <f>IF(D87="","",VLOOKUP(D87,'Conversion Tables'!$A$2:$B$18,2,TRUE))</f>
        <v/>
      </c>
      <c r="F87" s="2"/>
      <c r="G87" s="2"/>
      <c r="H87" s="2" t="str">
        <f t="shared" si="4"/>
        <v/>
      </c>
      <c r="I87" s="2" t="str">
        <f t="shared" si="5"/>
        <v/>
      </c>
    </row>
    <row r="88" spans="1:9">
      <c r="A88" s="2"/>
      <c r="B88" s="2"/>
      <c r="C88" s="2" t="str">
        <f>IF(B88="","",VLOOKUP(B88,'Conversion Tables'!$A$21:$B$37,2,TRUE))</f>
        <v/>
      </c>
      <c r="D88" s="2"/>
      <c r="E88" s="2" t="str">
        <f>IF(D88="","",VLOOKUP(D88,'Conversion Tables'!$A$2:$B$18,2,TRUE))</f>
        <v/>
      </c>
      <c r="F88" s="2"/>
      <c r="G88" s="2"/>
      <c r="H88" s="2" t="str">
        <f t="shared" si="4"/>
        <v/>
      </c>
      <c r="I88" s="2" t="str">
        <f t="shared" si="5"/>
        <v/>
      </c>
    </row>
    <row r="89" spans="1:9">
      <c r="A89" s="2"/>
      <c r="B89" s="2"/>
      <c r="C89" s="2" t="str">
        <f>IF(B89="","",VLOOKUP(B89,'Conversion Tables'!$A$21:$B$37,2,TRUE))</f>
        <v/>
      </c>
      <c r="D89" s="2"/>
      <c r="E89" s="2" t="str">
        <f>IF(D89="","",VLOOKUP(D89,'Conversion Tables'!$A$2:$B$18,2,TRUE))</f>
        <v/>
      </c>
      <c r="F89" s="2"/>
      <c r="G89" s="2"/>
      <c r="H89" s="2" t="str">
        <f t="shared" si="4"/>
        <v/>
      </c>
      <c r="I89" s="2" t="str">
        <f t="shared" si="5"/>
        <v/>
      </c>
    </row>
    <row r="90" spans="1:9">
      <c r="A90" s="2"/>
      <c r="B90" s="2"/>
      <c r="C90" s="2" t="str">
        <f>IF(B90="","",VLOOKUP(B90,'Conversion Tables'!$A$21:$B$37,2,TRUE))</f>
        <v/>
      </c>
      <c r="D90" s="2"/>
      <c r="E90" s="2" t="str">
        <f>IF(D90="","",VLOOKUP(D90,'Conversion Tables'!$A$2:$B$18,2,TRUE))</f>
        <v/>
      </c>
      <c r="F90" s="2"/>
      <c r="G90" s="2"/>
      <c r="H90" s="2" t="str">
        <f t="shared" si="4"/>
        <v/>
      </c>
      <c r="I90" s="2" t="str">
        <f t="shared" si="5"/>
        <v/>
      </c>
    </row>
    <row r="91" spans="1:9">
      <c r="A91" s="2"/>
      <c r="B91" s="2"/>
      <c r="C91" s="2" t="str">
        <f>IF(B91="","",VLOOKUP(B91,'Conversion Tables'!$A$21:$B$37,2,TRUE))</f>
        <v/>
      </c>
      <c r="D91" s="2"/>
      <c r="E91" s="2" t="str">
        <f>IF(D91="","",VLOOKUP(D91,'Conversion Tables'!$A$2:$B$18,2,TRUE))</f>
        <v/>
      </c>
      <c r="F91" s="2"/>
      <c r="G91" s="2"/>
      <c r="H91" s="2" t="str">
        <f t="shared" si="4"/>
        <v/>
      </c>
      <c r="I91" s="2" t="str">
        <f t="shared" si="5"/>
        <v/>
      </c>
    </row>
    <row r="92" spans="1:9">
      <c r="A92" s="2"/>
      <c r="B92" s="2"/>
      <c r="C92" s="2" t="str">
        <f>IF(B92="","",VLOOKUP(B92,'Conversion Tables'!$A$21:$B$37,2,TRUE))</f>
        <v/>
      </c>
      <c r="D92" s="2"/>
      <c r="E92" s="2" t="str">
        <f>IF(D92="","",VLOOKUP(D92,'Conversion Tables'!$A$2:$B$18,2,TRUE))</f>
        <v/>
      </c>
      <c r="F92" s="2"/>
      <c r="G92" s="2"/>
      <c r="H92" s="2" t="str">
        <f t="shared" si="4"/>
        <v/>
      </c>
      <c r="I92" s="2" t="str">
        <f t="shared" si="5"/>
        <v/>
      </c>
    </row>
    <row r="93" spans="1:9">
      <c r="A93" s="2"/>
      <c r="B93" s="2"/>
      <c r="C93" s="2" t="str">
        <f>IF(B93="","",VLOOKUP(B93,'Conversion Tables'!$A$21:$B$37,2,TRUE))</f>
        <v/>
      </c>
      <c r="D93" s="2"/>
      <c r="E93" s="2" t="str">
        <f>IF(D93="","",VLOOKUP(D93,'Conversion Tables'!$A$2:$B$18,2,TRUE))</f>
        <v/>
      </c>
      <c r="F93" s="2"/>
      <c r="G93" s="2"/>
      <c r="H93" s="2" t="str">
        <f t="shared" si="4"/>
        <v/>
      </c>
      <c r="I93" s="2" t="str">
        <f t="shared" si="5"/>
        <v/>
      </c>
    </row>
    <row r="94" spans="1:9">
      <c r="A94" s="2"/>
      <c r="B94" s="2"/>
      <c r="C94" s="2" t="str">
        <f>IF(B94="","",VLOOKUP(B94,'Conversion Tables'!$A$21:$B$37,2,TRUE))</f>
        <v/>
      </c>
      <c r="D94" s="2"/>
      <c r="E94" s="2" t="str">
        <f>IF(D94="","",VLOOKUP(D94,'Conversion Tables'!$A$2:$B$18,2,TRUE))</f>
        <v/>
      </c>
      <c r="F94" s="2"/>
      <c r="G94" s="2"/>
      <c r="H94" s="2" t="str">
        <f t="shared" si="4"/>
        <v/>
      </c>
      <c r="I94" s="2" t="str">
        <f t="shared" si="5"/>
        <v/>
      </c>
    </row>
    <row r="95" spans="1:9">
      <c r="A95" s="2"/>
      <c r="B95" s="2"/>
      <c r="C95" s="2" t="str">
        <f>IF(B95="","",VLOOKUP(B95,'Conversion Tables'!$A$21:$B$37,2,TRUE))</f>
        <v/>
      </c>
      <c r="D95" s="2"/>
      <c r="E95" s="2" t="str">
        <f>IF(D95="","",VLOOKUP(D95,'Conversion Tables'!$A$2:$B$18,2,TRUE))</f>
        <v/>
      </c>
      <c r="F95" s="2"/>
      <c r="G95" s="2"/>
      <c r="H95" s="2" t="str">
        <f t="shared" si="4"/>
        <v/>
      </c>
      <c r="I95" s="2" t="str">
        <f t="shared" si="5"/>
        <v/>
      </c>
    </row>
    <row r="96" spans="1:9">
      <c r="A96" s="2"/>
      <c r="B96" s="2"/>
      <c r="C96" s="2" t="str">
        <f>IF(B96="","",VLOOKUP(B96,'Conversion Tables'!$A$21:$B$37,2,TRUE))</f>
        <v/>
      </c>
      <c r="D96" s="2"/>
      <c r="E96" s="2" t="str">
        <f>IF(D96="","",VLOOKUP(D96,'Conversion Tables'!$A$2:$B$18,2,TRUE))</f>
        <v/>
      </c>
      <c r="F96" s="2"/>
      <c r="G96" s="2"/>
      <c r="H96" s="2" t="str">
        <f t="shared" si="4"/>
        <v/>
      </c>
      <c r="I96" s="2" t="str">
        <f t="shared" si="5"/>
        <v/>
      </c>
    </row>
    <row r="97" spans="1:9">
      <c r="A97" s="2"/>
      <c r="B97" s="2"/>
      <c r="C97" s="2" t="str">
        <f>IF(B97="","",VLOOKUP(B97,'Conversion Tables'!$A$21:$B$37,2,TRUE))</f>
        <v/>
      </c>
      <c r="D97" s="2"/>
      <c r="E97" s="2" t="str">
        <f>IF(D97="","",VLOOKUP(D97,'Conversion Tables'!$A$2:$B$18,2,TRUE))</f>
        <v/>
      </c>
      <c r="F97" s="2"/>
      <c r="G97" s="2"/>
      <c r="H97" s="2" t="str">
        <f t="shared" si="4"/>
        <v/>
      </c>
      <c r="I97" s="2" t="str">
        <f t="shared" si="5"/>
        <v/>
      </c>
    </row>
    <row r="98" spans="1:9">
      <c r="A98" s="2"/>
      <c r="B98" s="2"/>
      <c r="C98" s="2" t="str">
        <f>IF(B98="","",VLOOKUP(B98,'Conversion Tables'!$A$21:$B$37,2,TRUE))</f>
        <v/>
      </c>
      <c r="D98" s="2"/>
      <c r="E98" s="2" t="str">
        <f>IF(D98="","",VLOOKUP(D98,'Conversion Tables'!$A$2:$B$18,2,TRUE))</f>
        <v/>
      </c>
      <c r="F98" s="2"/>
      <c r="G98" s="2"/>
      <c r="H98" s="2" t="str">
        <f t="shared" ref="H98:H129" si="6">IF(AND(C98="",E98="",F98="",G98=""),"",ROUND(AVERAGE(C98,E98,F98,G98)*2,0)/2)</f>
        <v/>
      </c>
      <c r="I98" s="2" t="str">
        <f t="shared" ref="I98:I129" si="7">IF(H98="","",IF(H98=6,5,IF(H98=6.5,10,IF(H98=7,15,IF(H98=7.5,20,IF(H98=8,30,0))))))</f>
        <v/>
      </c>
    </row>
    <row r="99" spans="1:9">
      <c r="A99" s="2"/>
      <c r="B99" s="2"/>
      <c r="C99" s="2" t="str">
        <f>IF(B99="","",VLOOKUP(B99,'Conversion Tables'!$A$21:$B$37,2,TRUE))</f>
        <v/>
      </c>
      <c r="D99" s="2"/>
      <c r="E99" s="2" t="str">
        <f>IF(D99="","",VLOOKUP(D99,'Conversion Tables'!$A$2:$B$18,2,TRUE))</f>
        <v/>
      </c>
      <c r="F99" s="2"/>
      <c r="G99" s="2"/>
      <c r="H99" s="2" t="str">
        <f t="shared" si="6"/>
        <v/>
      </c>
      <c r="I99" s="2" t="str">
        <f t="shared" si="7"/>
        <v/>
      </c>
    </row>
    <row r="100" spans="1:9">
      <c r="A100" s="2"/>
      <c r="B100" s="2"/>
      <c r="C100" s="2" t="str">
        <f>IF(B100="","",VLOOKUP(B100,'Conversion Tables'!$A$21:$B$37,2,TRUE))</f>
        <v/>
      </c>
      <c r="D100" s="2"/>
      <c r="E100" s="2" t="str">
        <f>IF(D100="","",VLOOKUP(D100,'Conversion Tables'!$A$2:$B$18,2,TRUE))</f>
        <v/>
      </c>
      <c r="F100" s="2"/>
      <c r="G100" s="2"/>
      <c r="H100" s="2" t="str">
        <f t="shared" si="6"/>
        <v/>
      </c>
      <c r="I100" s="2" t="str">
        <f t="shared" si="7"/>
        <v/>
      </c>
    </row>
    <row r="101" spans="1:9">
      <c r="A101" s="2"/>
      <c r="B101" s="2"/>
      <c r="C101" s="2" t="str">
        <f>IF(B101="","",VLOOKUP(B101,'Conversion Tables'!$A$21:$B$37,2,TRUE))</f>
        <v/>
      </c>
      <c r="D101" s="2"/>
      <c r="E101" s="2" t="str">
        <f>IF(D101="","",VLOOKUP(D101,'Conversion Tables'!$A$2:$B$18,2,TRUE))</f>
        <v/>
      </c>
      <c r="F101" s="2"/>
      <c r="G101" s="2"/>
      <c r="H101" s="2" t="str">
        <f t="shared" si="6"/>
        <v/>
      </c>
      <c r="I101" s="2" t="str">
        <f t="shared" si="7"/>
        <v/>
      </c>
    </row>
    <row r="102" spans="1:9">
      <c r="A102" s="2"/>
      <c r="B102" s="2"/>
      <c r="C102" s="2" t="str">
        <f>IF(B102="","",VLOOKUP(B102,'Conversion Tables'!$A$21:$B$37,2,TRUE))</f>
        <v/>
      </c>
      <c r="D102" s="2"/>
      <c r="E102" s="2" t="str">
        <f>IF(D102="","",VLOOKUP(D102,'Conversion Tables'!$A$2:$B$18,2,TRUE))</f>
        <v/>
      </c>
      <c r="F102" s="2"/>
      <c r="G102" s="2"/>
      <c r="H102" s="2" t="str">
        <f t="shared" si="6"/>
        <v/>
      </c>
      <c r="I102" s="2" t="str">
        <f t="shared" si="7"/>
        <v/>
      </c>
    </row>
    <row r="103" spans="1:9">
      <c r="A103" s="2"/>
      <c r="B103" s="2"/>
      <c r="C103" s="2" t="str">
        <f>IF(B103="","",VLOOKUP(B103,'Conversion Tables'!$A$21:$B$37,2,TRUE))</f>
        <v/>
      </c>
      <c r="D103" s="2"/>
      <c r="E103" s="2" t="str">
        <f>IF(D103="","",VLOOKUP(D103,'Conversion Tables'!$A$2:$B$18,2,TRUE))</f>
        <v/>
      </c>
      <c r="F103" s="2"/>
      <c r="G103" s="2"/>
      <c r="H103" s="2" t="str">
        <f t="shared" si="6"/>
        <v/>
      </c>
      <c r="I103" s="2" t="str">
        <f t="shared" si="7"/>
        <v/>
      </c>
    </row>
    <row r="104" spans="1:9">
      <c r="A104" s="2"/>
      <c r="B104" s="2"/>
      <c r="C104" s="2" t="str">
        <f>IF(B104="","",VLOOKUP(B104,'Conversion Tables'!$A$21:$B$37,2,TRUE))</f>
        <v/>
      </c>
      <c r="D104" s="2"/>
      <c r="E104" s="2" t="str">
        <f>IF(D104="","",VLOOKUP(D104,'Conversion Tables'!$A$2:$B$18,2,TRUE))</f>
        <v/>
      </c>
      <c r="F104" s="2"/>
      <c r="G104" s="2"/>
      <c r="H104" s="2" t="str">
        <f t="shared" si="6"/>
        <v/>
      </c>
      <c r="I104" s="2" t="str">
        <f t="shared" si="7"/>
        <v/>
      </c>
    </row>
    <row r="105" spans="1:9">
      <c r="A105" s="2"/>
      <c r="B105" s="2"/>
      <c r="C105" s="2" t="str">
        <f>IF(B105="","",VLOOKUP(B105,'Conversion Tables'!$A$21:$B$37,2,TRUE))</f>
        <v/>
      </c>
      <c r="D105" s="2"/>
      <c r="E105" s="2" t="str">
        <f>IF(D105="","",VLOOKUP(D105,'Conversion Tables'!$A$2:$B$18,2,TRUE))</f>
        <v/>
      </c>
      <c r="F105" s="2"/>
      <c r="G105" s="2"/>
      <c r="H105" s="2" t="str">
        <f t="shared" si="6"/>
        <v/>
      </c>
      <c r="I105" s="2" t="str">
        <f t="shared" si="7"/>
        <v/>
      </c>
    </row>
    <row r="106" spans="1:9">
      <c r="A106" s="2"/>
      <c r="B106" s="2"/>
      <c r="C106" s="2" t="str">
        <f>IF(B106="","",VLOOKUP(B106,'Conversion Tables'!$A$21:$B$37,2,TRUE))</f>
        <v/>
      </c>
      <c r="D106" s="2"/>
      <c r="E106" s="2" t="str">
        <f>IF(D106="","",VLOOKUP(D106,'Conversion Tables'!$A$2:$B$18,2,TRUE))</f>
        <v/>
      </c>
      <c r="F106" s="2"/>
      <c r="G106" s="2"/>
      <c r="H106" s="2" t="str">
        <f t="shared" si="6"/>
        <v/>
      </c>
      <c r="I106" s="2" t="str">
        <f t="shared" si="7"/>
        <v/>
      </c>
    </row>
    <row r="107" spans="1:9">
      <c r="A107" s="2"/>
      <c r="B107" s="2"/>
      <c r="C107" s="2" t="str">
        <f>IF(B107="","",VLOOKUP(B107,'Conversion Tables'!$A$21:$B$37,2,TRUE))</f>
        <v/>
      </c>
      <c r="D107" s="2"/>
      <c r="E107" s="2" t="str">
        <f>IF(D107="","",VLOOKUP(D107,'Conversion Tables'!$A$2:$B$18,2,TRUE))</f>
        <v/>
      </c>
      <c r="F107" s="2"/>
      <c r="G107" s="2"/>
      <c r="H107" s="2" t="str">
        <f t="shared" si="6"/>
        <v/>
      </c>
      <c r="I107" s="2" t="str">
        <f t="shared" si="7"/>
        <v/>
      </c>
    </row>
    <row r="108" spans="1:9">
      <c r="A108" s="2"/>
      <c r="B108" s="2"/>
      <c r="C108" s="2" t="str">
        <f>IF(B108="","",VLOOKUP(B108,'Conversion Tables'!$A$21:$B$37,2,TRUE))</f>
        <v/>
      </c>
      <c r="D108" s="2"/>
      <c r="E108" s="2" t="str">
        <f>IF(D108="","",VLOOKUP(D108,'Conversion Tables'!$A$2:$B$18,2,TRUE))</f>
        <v/>
      </c>
      <c r="F108" s="2"/>
      <c r="G108" s="2"/>
      <c r="H108" s="2" t="str">
        <f t="shared" si="6"/>
        <v/>
      </c>
      <c r="I108" s="2" t="str">
        <f t="shared" si="7"/>
        <v/>
      </c>
    </row>
    <row r="109" spans="1:9">
      <c r="A109" s="2"/>
      <c r="B109" s="2"/>
      <c r="C109" s="2" t="str">
        <f>IF(B109="","",VLOOKUP(B109,'Conversion Tables'!$A$21:$B$37,2,TRUE))</f>
        <v/>
      </c>
      <c r="D109" s="2"/>
      <c r="E109" s="2" t="str">
        <f>IF(D109="","",VLOOKUP(D109,'Conversion Tables'!$A$2:$B$18,2,TRUE))</f>
        <v/>
      </c>
      <c r="F109" s="2"/>
      <c r="G109" s="2"/>
      <c r="H109" s="2" t="str">
        <f t="shared" si="6"/>
        <v/>
      </c>
      <c r="I109" s="2" t="str">
        <f t="shared" si="7"/>
        <v/>
      </c>
    </row>
    <row r="110" spans="1:9">
      <c r="A110" s="2"/>
      <c r="B110" s="2"/>
      <c r="C110" s="2" t="str">
        <f>IF(B110="","",VLOOKUP(B110,'Conversion Tables'!$A$21:$B$37,2,TRUE))</f>
        <v/>
      </c>
      <c r="D110" s="2"/>
      <c r="E110" s="2" t="str">
        <f>IF(D110="","",VLOOKUP(D110,'Conversion Tables'!$A$2:$B$18,2,TRUE))</f>
        <v/>
      </c>
      <c r="F110" s="2"/>
      <c r="G110" s="2"/>
      <c r="H110" s="2" t="str">
        <f t="shared" si="6"/>
        <v/>
      </c>
      <c r="I110" s="2" t="str">
        <f t="shared" si="7"/>
        <v/>
      </c>
    </row>
    <row r="111" spans="1:9">
      <c r="A111" s="2"/>
      <c r="B111" s="2"/>
      <c r="C111" s="2" t="str">
        <f>IF(B111="","",VLOOKUP(B111,'Conversion Tables'!$A$21:$B$37,2,TRUE))</f>
        <v/>
      </c>
      <c r="D111" s="2"/>
      <c r="E111" s="2" t="str">
        <f>IF(D111="","",VLOOKUP(D111,'Conversion Tables'!$A$2:$B$18,2,TRUE))</f>
        <v/>
      </c>
      <c r="F111" s="2"/>
      <c r="G111" s="2"/>
      <c r="H111" s="2" t="str">
        <f t="shared" si="6"/>
        <v/>
      </c>
      <c r="I111" s="2" t="str">
        <f t="shared" si="7"/>
        <v/>
      </c>
    </row>
    <row r="112" spans="1:9">
      <c r="A112" s="2"/>
      <c r="B112" s="2"/>
      <c r="C112" s="2" t="str">
        <f>IF(B112="","",VLOOKUP(B112,'Conversion Tables'!$A$21:$B$37,2,TRUE))</f>
        <v/>
      </c>
      <c r="D112" s="2"/>
      <c r="E112" s="2" t="str">
        <f>IF(D112="","",VLOOKUP(D112,'Conversion Tables'!$A$2:$B$18,2,TRUE))</f>
        <v/>
      </c>
      <c r="F112" s="2"/>
      <c r="G112" s="2"/>
      <c r="H112" s="2" t="str">
        <f t="shared" si="6"/>
        <v/>
      </c>
      <c r="I112" s="2" t="str">
        <f t="shared" si="7"/>
        <v/>
      </c>
    </row>
    <row r="113" spans="1:9">
      <c r="A113" s="2"/>
      <c r="B113" s="2"/>
      <c r="C113" s="2" t="str">
        <f>IF(B113="","",VLOOKUP(B113,'Conversion Tables'!$A$21:$B$37,2,TRUE))</f>
        <v/>
      </c>
      <c r="D113" s="2"/>
      <c r="E113" s="2" t="str">
        <f>IF(D113="","",VLOOKUP(D113,'Conversion Tables'!$A$2:$B$18,2,TRUE))</f>
        <v/>
      </c>
      <c r="F113" s="2"/>
      <c r="G113" s="2"/>
      <c r="H113" s="2" t="str">
        <f t="shared" si="6"/>
        <v/>
      </c>
      <c r="I113" s="2" t="str">
        <f t="shared" si="7"/>
        <v/>
      </c>
    </row>
    <row r="114" spans="1:9">
      <c r="A114" s="2"/>
      <c r="B114" s="2"/>
      <c r="C114" s="2" t="str">
        <f>IF(B114="","",VLOOKUP(B114,'Conversion Tables'!$A$21:$B$37,2,TRUE))</f>
        <v/>
      </c>
      <c r="D114" s="2"/>
      <c r="E114" s="2" t="str">
        <f>IF(D114="","",VLOOKUP(D114,'Conversion Tables'!$A$2:$B$18,2,TRUE))</f>
        <v/>
      </c>
      <c r="F114" s="2"/>
      <c r="G114" s="2"/>
      <c r="H114" s="2" t="str">
        <f t="shared" si="6"/>
        <v/>
      </c>
      <c r="I114" s="2" t="str">
        <f t="shared" si="7"/>
        <v/>
      </c>
    </row>
    <row r="115" spans="1:9">
      <c r="A115" s="2"/>
      <c r="B115" s="2"/>
      <c r="C115" s="2" t="str">
        <f>IF(B115="","",VLOOKUP(B115,'Conversion Tables'!$A$21:$B$37,2,TRUE))</f>
        <v/>
      </c>
      <c r="D115" s="2"/>
      <c r="E115" s="2" t="str">
        <f>IF(D115="","",VLOOKUP(D115,'Conversion Tables'!$A$2:$B$18,2,TRUE))</f>
        <v/>
      </c>
      <c r="F115" s="2"/>
      <c r="G115" s="2"/>
      <c r="H115" s="2" t="str">
        <f t="shared" si="6"/>
        <v/>
      </c>
      <c r="I115" s="2" t="str">
        <f t="shared" si="7"/>
        <v/>
      </c>
    </row>
    <row r="116" spans="1:9">
      <c r="A116" s="2"/>
      <c r="B116" s="2"/>
      <c r="C116" s="2" t="str">
        <f>IF(B116="","",VLOOKUP(B116,'Conversion Tables'!$A$21:$B$37,2,TRUE))</f>
        <v/>
      </c>
      <c r="D116" s="2"/>
      <c r="E116" s="2" t="str">
        <f>IF(D116="","",VLOOKUP(D116,'Conversion Tables'!$A$2:$B$18,2,TRUE))</f>
        <v/>
      </c>
      <c r="F116" s="2"/>
      <c r="G116" s="2"/>
      <c r="H116" s="2" t="str">
        <f t="shared" si="6"/>
        <v/>
      </c>
      <c r="I116" s="2" t="str">
        <f t="shared" si="7"/>
        <v/>
      </c>
    </row>
    <row r="117" spans="1:9">
      <c r="A117" s="2"/>
      <c r="B117" s="2"/>
      <c r="C117" s="2" t="str">
        <f>IF(B117="","",VLOOKUP(B117,'Conversion Tables'!$A$21:$B$37,2,TRUE))</f>
        <v/>
      </c>
      <c r="D117" s="2"/>
      <c r="E117" s="2" t="str">
        <f>IF(D117="","",VLOOKUP(D117,'Conversion Tables'!$A$2:$B$18,2,TRUE))</f>
        <v/>
      </c>
      <c r="F117" s="2"/>
      <c r="G117" s="2"/>
      <c r="H117" s="2" t="str">
        <f t="shared" si="6"/>
        <v/>
      </c>
      <c r="I117" s="2" t="str">
        <f t="shared" si="7"/>
        <v/>
      </c>
    </row>
    <row r="118" spans="1:9">
      <c r="A118" s="2"/>
      <c r="B118" s="2"/>
      <c r="C118" s="2" t="str">
        <f>IF(B118="","",VLOOKUP(B118,'Conversion Tables'!$A$21:$B$37,2,TRUE))</f>
        <v/>
      </c>
      <c r="D118" s="2"/>
      <c r="E118" s="2" t="str">
        <f>IF(D118="","",VLOOKUP(D118,'Conversion Tables'!$A$2:$B$18,2,TRUE))</f>
        <v/>
      </c>
      <c r="F118" s="2"/>
      <c r="G118" s="2"/>
      <c r="H118" s="2" t="str">
        <f t="shared" si="6"/>
        <v/>
      </c>
      <c r="I118" s="2" t="str">
        <f t="shared" si="7"/>
        <v/>
      </c>
    </row>
    <row r="119" spans="1:9">
      <c r="A119" s="2"/>
      <c r="B119" s="2"/>
      <c r="C119" s="2" t="str">
        <f>IF(B119="","",VLOOKUP(B119,'Conversion Tables'!$A$21:$B$37,2,TRUE))</f>
        <v/>
      </c>
      <c r="D119" s="2"/>
      <c r="E119" s="2" t="str">
        <f>IF(D119="","",VLOOKUP(D119,'Conversion Tables'!$A$2:$B$18,2,TRUE))</f>
        <v/>
      </c>
      <c r="F119" s="2"/>
      <c r="G119" s="2"/>
      <c r="H119" s="2" t="str">
        <f t="shared" si="6"/>
        <v/>
      </c>
      <c r="I119" s="2" t="str">
        <f t="shared" si="7"/>
        <v/>
      </c>
    </row>
    <row r="120" spans="1:9">
      <c r="A120" s="2"/>
      <c r="B120" s="2"/>
      <c r="C120" s="2" t="str">
        <f>IF(B120="","",VLOOKUP(B120,'Conversion Tables'!$A$21:$B$37,2,TRUE))</f>
        <v/>
      </c>
      <c r="D120" s="2"/>
      <c r="E120" s="2" t="str">
        <f>IF(D120="","",VLOOKUP(D120,'Conversion Tables'!$A$2:$B$18,2,TRUE))</f>
        <v/>
      </c>
      <c r="F120" s="2"/>
      <c r="G120" s="2"/>
      <c r="H120" s="2" t="str">
        <f t="shared" si="6"/>
        <v/>
      </c>
      <c r="I120" s="2" t="str">
        <f t="shared" si="7"/>
        <v/>
      </c>
    </row>
    <row r="121" spans="1:9">
      <c r="A121" s="2"/>
      <c r="B121" s="2"/>
      <c r="C121" s="2" t="str">
        <f>IF(B121="","",VLOOKUP(B121,'Conversion Tables'!$A$21:$B$37,2,TRUE))</f>
        <v/>
      </c>
      <c r="D121" s="2"/>
      <c r="E121" s="2" t="str">
        <f>IF(D121="","",VLOOKUP(D121,'Conversion Tables'!$A$2:$B$18,2,TRUE))</f>
        <v/>
      </c>
      <c r="F121" s="2"/>
      <c r="G121" s="2"/>
      <c r="H121" s="2" t="str">
        <f t="shared" si="6"/>
        <v/>
      </c>
      <c r="I121" s="2" t="str">
        <f t="shared" si="7"/>
        <v/>
      </c>
    </row>
    <row r="122" spans="1:9">
      <c r="A122" s="2"/>
      <c r="B122" s="2"/>
      <c r="C122" s="2" t="str">
        <f>IF(B122="","",VLOOKUP(B122,'Conversion Tables'!$A$21:$B$37,2,TRUE))</f>
        <v/>
      </c>
      <c r="D122" s="2"/>
      <c r="E122" s="2" t="str">
        <f>IF(D122="","",VLOOKUP(D122,'Conversion Tables'!$A$2:$B$18,2,TRUE))</f>
        <v/>
      </c>
      <c r="F122" s="2"/>
      <c r="G122" s="2"/>
      <c r="H122" s="2" t="str">
        <f t="shared" si="6"/>
        <v/>
      </c>
      <c r="I122" s="2" t="str">
        <f t="shared" si="7"/>
        <v/>
      </c>
    </row>
    <row r="123" spans="1:9">
      <c r="A123" s="2"/>
      <c r="B123" s="2"/>
      <c r="C123" s="2" t="str">
        <f>IF(B123="","",VLOOKUP(B123,'Conversion Tables'!$A$21:$B$37,2,TRUE))</f>
        <v/>
      </c>
      <c r="D123" s="2"/>
      <c r="E123" s="2" t="str">
        <f>IF(D123="","",VLOOKUP(D123,'Conversion Tables'!$A$2:$B$18,2,TRUE))</f>
        <v/>
      </c>
      <c r="F123" s="2"/>
      <c r="G123" s="2"/>
      <c r="H123" s="2" t="str">
        <f t="shared" si="6"/>
        <v/>
      </c>
      <c r="I123" s="2" t="str">
        <f t="shared" si="7"/>
        <v/>
      </c>
    </row>
    <row r="124" spans="1:9">
      <c r="A124" s="2"/>
      <c r="B124" s="2"/>
      <c r="C124" s="2" t="str">
        <f>IF(B124="","",VLOOKUP(B124,'Conversion Tables'!$A$21:$B$37,2,TRUE))</f>
        <v/>
      </c>
      <c r="D124" s="2"/>
      <c r="E124" s="2" t="str">
        <f>IF(D124="","",VLOOKUP(D124,'Conversion Tables'!$A$2:$B$18,2,TRUE))</f>
        <v/>
      </c>
      <c r="F124" s="2"/>
      <c r="G124" s="2"/>
      <c r="H124" s="2" t="str">
        <f t="shared" si="6"/>
        <v/>
      </c>
      <c r="I124" s="2" t="str">
        <f t="shared" si="7"/>
        <v/>
      </c>
    </row>
    <row r="125" spans="1:9">
      <c r="A125" s="2"/>
      <c r="B125" s="2"/>
      <c r="C125" s="2" t="str">
        <f>IF(B125="","",VLOOKUP(B125,'Conversion Tables'!$A$21:$B$37,2,TRUE))</f>
        <v/>
      </c>
      <c r="D125" s="2"/>
      <c r="E125" s="2" t="str">
        <f>IF(D125="","",VLOOKUP(D125,'Conversion Tables'!$A$2:$B$18,2,TRUE))</f>
        <v/>
      </c>
      <c r="F125" s="2"/>
      <c r="G125" s="2"/>
      <c r="H125" s="2" t="str">
        <f t="shared" si="6"/>
        <v/>
      </c>
      <c r="I125" s="2" t="str">
        <f t="shared" si="7"/>
        <v/>
      </c>
    </row>
    <row r="126" spans="1:9">
      <c r="A126" s="2"/>
      <c r="B126" s="2"/>
      <c r="C126" s="2" t="str">
        <f>IF(B126="","",VLOOKUP(B126,'Conversion Tables'!$A$21:$B$37,2,TRUE))</f>
        <v/>
      </c>
      <c r="D126" s="2"/>
      <c r="E126" s="2" t="str">
        <f>IF(D126="","",VLOOKUP(D126,'Conversion Tables'!$A$2:$B$18,2,TRUE))</f>
        <v/>
      </c>
      <c r="F126" s="2"/>
      <c r="G126" s="2"/>
      <c r="H126" s="2" t="str">
        <f t="shared" si="6"/>
        <v/>
      </c>
      <c r="I126" s="2" t="str">
        <f t="shared" si="7"/>
        <v/>
      </c>
    </row>
    <row r="127" spans="1:9">
      <c r="A127" s="2"/>
      <c r="B127" s="2"/>
      <c r="C127" s="2" t="str">
        <f>IF(B127="","",VLOOKUP(B127,'Conversion Tables'!$A$21:$B$37,2,TRUE))</f>
        <v/>
      </c>
      <c r="D127" s="2"/>
      <c r="E127" s="2" t="str">
        <f>IF(D127="","",VLOOKUP(D127,'Conversion Tables'!$A$2:$B$18,2,TRUE))</f>
        <v/>
      </c>
      <c r="F127" s="2"/>
      <c r="G127" s="2"/>
      <c r="H127" s="2" t="str">
        <f t="shared" si="6"/>
        <v/>
      </c>
      <c r="I127" s="2" t="str">
        <f t="shared" si="7"/>
        <v/>
      </c>
    </row>
    <row r="128" spans="1:9">
      <c r="A128" s="2"/>
      <c r="B128" s="2"/>
      <c r="C128" s="2" t="str">
        <f>IF(B128="","",VLOOKUP(B128,'Conversion Tables'!$A$21:$B$37,2,TRUE))</f>
        <v/>
      </c>
      <c r="D128" s="2"/>
      <c r="E128" s="2" t="str">
        <f>IF(D128="","",VLOOKUP(D128,'Conversion Tables'!$A$2:$B$18,2,TRUE))</f>
        <v/>
      </c>
      <c r="F128" s="2"/>
      <c r="G128" s="2"/>
      <c r="H128" s="2" t="str">
        <f t="shared" si="6"/>
        <v/>
      </c>
      <c r="I128" s="2" t="str">
        <f t="shared" si="7"/>
        <v/>
      </c>
    </row>
    <row r="129" spans="1:9">
      <c r="A129" s="2"/>
      <c r="B129" s="2"/>
      <c r="C129" s="2" t="str">
        <f>IF(B129="","",VLOOKUP(B129,'Conversion Tables'!$A$21:$B$37,2,TRUE))</f>
        <v/>
      </c>
      <c r="D129" s="2"/>
      <c r="E129" s="2" t="str">
        <f>IF(D129="","",VLOOKUP(D129,'Conversion Tables'!$A$2:$B$18,2,TRUE))</f>
        <v/>
      </c>
      <c r="F129" s="2"/>
      <c r="G129" s="2"/>
      <c r="H129" s="2" t="str">
        <f t="shared" si="6"/>
        <v/>
      </c>
      <c r="I129" s="2" t="str">
        <f t="shared" si="7"/>
        <v/>
      </c>
    </row>
    <row r="130" spans="1:9">
      <c r="A130" s="2"/>
      <c r="B130" s="2"/>
      <c r="C130" s="2" t="str">
        <f>IF(B130="","",VLOOKUP(B130,'Conversion Tables'!$A$21:$B$37,2,TRUE))</f>
        <v/>
      </c>
      <c r="D130" s="2"/>
      <c r="E130" s="2" t="str">
        <f>IF(D130="","",VLOOKUP(D130,'Conversion Tables'!$A$2:$B$18,2,TRUE))</f>
        <v/>
      </c>
      <c r="F130" s="2"/>
      <c r="G130" s="2"/>
      <c r="H130" s="2" t="str">
        <f t="shared" ref="H130:H161" si="8">IF(AND(C130="",E130="",F130="",G130=""),"",ROUND(AVERAGE(C130,E130,F130,G130)*2,0)/2)</f>
        <v/>
      </c>
      <c r="I130" s="2" t="str">
        <f t="shared" ref="I130:I161" si="9">IF(H130="","",IF(H130=6,5,IF(H130=6.5,10,IF(H130=7,15,IF(H130=7.5,20,IF(H130=8,30,0))))))</f>
        <v/>
      </c>
    </row>
    <row r="131" spans="1:9">
      <c r="A131" s="2"/>
      <c r="B131" s="2"/>
      <c r="C131" s="2" t="str">
        <f>IF(B131="","",VLOOKUP(B131,'Conversion Tables'!$A$21:$B$37,2,TRUE))</f>
        <v/>
      </c>
      <c r="D131" s="2"/>
      <c r="E131" s="2" t="str">
        <f>IF(D131="","",VLOOKUP(D131,'Conversion Tables'!$A$2:$B$18,2,TRUE))</f>
        <v/>
      </c>
      <c r="F131" s="2"/>
      <c r="G131" s="2"/>
      <c r="H131" s="2" t="str">
        <f t="shared" si="8"/>
        <v/>
      </c>
      <c r="I131" s="2" t="str">
        <f t="shared" si="9"/>
        <v/>
      </c>
    </row>
    <row r="132" spans="1:9">
      <c r="A132" s="2"/>
      <c r="B132" s="2"/>
      <c r="C132" s="2" t="str">
        <f>IF(B132="","",VLOOKUP(B132,'Conversion Tables'!$A$21:$B$37,2,TRUE))</f>
        <v/>
      </c>
      <c r="D132" s="2"/>
      <c r="E132" s="2" t="str">
        <f>IF(D132="","",VLOOKUP(D132,'Conversion Tables'!$A$2:$B$18,2,TRUE))</f>
        <v/>
      </c>
      <c r="F132" s="2"/>
      <c r="G132" s="2"/>
      <c r="H132" s="2" t="str">
        <f t="shared" si="8"/>
        <v/>
      </c>
      <c r="I132" s="2" t="str">
        <f t="shared" si="9"/>
        <v/>
      </c>
    </row>
    <row r="133" spans="1:9">
      <c r="A133" s="2"/>
      <c r="B133" s="2"/>
      <c r="C133" s="2" t="str">
        <f>IF(B133="","",VLOOKUP(B133,'Conversion Tables'!$A$21:$B$37,2,TRUE))</f>
        <v/>
      </c>
      <c r="D133" s="2"/>
      <c r="E133" s="2" t="str">
        <f>IF(D133="","",VLOOKUP(D133,'Conversion Tables'!$A$2:$B$18,2,TRUE))</f>
        <v/>
      </c>
      <c r="F133" s="2"/>
      <c r="G133" s="2"/>
      <c r="H133" s="2" t="str">
        <f t="shared" si="8"/>
        <v/>
      </c>
      <c r="I133" s="2" t="str">
        <f t="shared" si="9"/>
        <v/>
      </c>
    </row>
    <row r="134" spans="1:9">
      <c r="A134" s="2"/>
      <c r="B134" s="2"/>
      <c r="C134" s="2" t="str">
        <f>IF(B134="","",VLOOKUP(B134,'Conversion Tables'!$A$21:$B$37,2,TRUE))</f>
        <v/>
      </c>
      <c r="D134" s="2"/>
      <c r="E134" s="2" t="str">
        <f>IF(D134="","",VLOOKUP(D134,'Conversion Tables'!$A$2:$B$18,2,TRUE))</f>
        <v/>
      </c>
      <c r="F134" s="2"/>
      <c r="G134" s="2"/>
      <c r="H134" s="2" t="str">
        <f t="shared" si="8"/>
        <v/>
      </c>
      <c r="I134" s="2" t="str">
        <f t="shared" si="9"/>
        <v/>
      </c>
    </row>
    <row r="135" spans="1:9">
      <c r="A135" s="2"/>
      <c r="B135" s="2"/>
      <c r="C135" s="2" t="str">
        <f>IF(B135="","",VLOOKUP(B135,'Conversion Tables'!$A$21:$B$37,2,TRUE))</f>
        <v/>
      </c>
      <c r="D135" s="2"/>
      <c r="E135" s="2" t="str">
        <f>IF(D135="","",VLOOKUP(D135,'Conversion Tables'!$A$2:$B$18,2,TRUE))</f>
        <v/>
      </c>
      <c r="F135" s="2"/>
      <c r="G135" s="2"/>
      <c r="H135" s="2" t="str">
        <f t="shared" si="8"/>
        <v/>
      </c>
      <c r="I135" s="2" t="str">
        <f t="shared" si="9"/>
        <v/>
      </c>
    </row>
    <row r="136" spans="1:9">
      <c r="A136" s="2"/>
      <c r="B136" s="2"/>
      <c r="C136" s="2" t="str">
        <f>IF(B136="","",VLOOKUP(B136,'Conversion Tables'!$A$21:$B$37,2,TRUE))</f>
        <v/>
      </c>
      <c r="D136" s="2"/>
      <c r="E136" s="2" t="str">
        <f>IF(D136="","",VLOOKUP(D136,'Conversion Tables'!$A$2:$B$18,2,TRUE))</f>
        <v/>
      </c>
      <c r="F136" s="2"/>
      <c r="G136" s="2"/>
      <c r="H136" s="2" t="str">
        <f t="shared" si="8"/>
        <v/>
      </c>
      <c r="I136" s="2" t="str">
        <f t="shared" si="9"/>
        <v/>
      </c>
    </row>
    <row r="137" spans="1:9">
      <c r="A137" s="2"/>
      <c r="B137" s="2"/>
      <c r="C137" s="2" t="str">
        <f>IF(B137="","",VLOOKUP(B137,'Conversion Tables'!$A$21:$B$37,2,TRUE))</f>
        <v/>
      </c>
      <c r="D137" s="2"/>
      <c r="E137" s="2" t="str">
        <f>IF(D137="","",VLOOKUP(D137,'Conversion Tables'!$A$2:$B$18,2,TRUE))</f>
        <v/>
      </c>
      <c r="F137" s="2"/>
      <c r="G137" s="2"/>
      <c r="H137" s="2" t="str">
        <f t="shared" si="8"/>
        <v/>
      </c>
      <c r="I137" s="2" t="str">
        <f t="shared" si="9"/>
        <v/>
      </c>
    </row>
    <row r="138" spans="1:9">
      <c r="A138" s="2"/>
      <c r="B138" s="2"/>
      <c r="C138" s="2" t="str">
        <f>IF(B138="","",VLOOKUP(B138,'Conversion Tables'!$A$21:$B$37,2,TRUE))</f>
        <v/>
      </c>
      <c r="D138" s="2"/>
      <c r="E138" s="2" t="str">
        <f>IF(D138="","",VLOOKUP(D138,'Conversion Tables'!$A$2:$B$18,2,TRUE))</f>
        <v/>
      </c>
      <c r="F138" s="2"/>
      <c r="G138" s="2"/>
      <c r="H138" s="2" t="str">
        <f t="shared" si="8"/>
        <v/>
      </c>
      <c r="I138" s="2" t="str">
        <f t="shared" si="9"/>
        <v/>
      </c>
    </row>
    <row r="139" spans="1:9">
      <c r="A139" s="2"/>
      <c r="B139" s="2"/>
      <c r="C139" s="2" t="str">
        <f>IF(B139="","",VLOOKUP(B139,'Conversion Tables'!$A$21:$B$37,2,TRUE))</f>
        <v/>
      </c>
      <c r="D139" s="2"/>
      <c r="E139" s="2" t="str">
        <f>IF(D139="","",VLOOKUP(D139,'Conversion Tables'!$A$2:$B$18,2,TRUE))</f>
        <v/>
      </c>
      <c r="F139" s="2"/>
      <c r="G139" s="2"/>
      <c r="H139" s="2" t="str">
        <f t="shared" si="8"/>
        <v/>
      </c>
      <c r="I139" s="2" t="str">
        <f t="shared" si="9"/>
        <v/>
      </c>
    </row>
    <row r="140" spans="1:9">
      <c r="A140" s="2"/>
      <c r="B140" s="2"/>
      <c r="C140" s="2" t="str">
        <f>IF(B140="","",VLOOKUP(B140,'Conversion Tables'!$A$21:$B$37,2,TRUE))</f>
        <v/>
      </c>
      <c r="D140" s="2"/>
      <c r="E140" s="2" t="str">
        <f>IF(D140="","",VLOOKUP(D140,'Conversion Tables'!$A$2:$B$18,2,TRUE))</f>
        <v/>
      </c>
      <c r="F140" s="2"/>
      <c r="G140" s="2"/>
      <c r="H140" s="2" t="str">
        <f t="shared" si="8"/>
        <v/>
      </c>
      <c r="I140" s="2" t="str">
        <f t="shared" si="9"/>
        <v/>
      </c>
    </row>
    <row r="141" spans="1:9">
      <c r="A141" s="2"/>
      <c r="B141" s="2"/>
      <c r="C141" s="2" t="str">
        <f>IF(B141="","",VLOOKUP(B141,'Conversion Tables'!$A$21:$B$37,2,TRUE))</f>
        <v/>
      </c>
      <c r="D141" s="2"/>
      <c r="E141" s="2" t="str">
        <f>IF(D141="","",VLOOKUP(D141,'Conversion Tables'!$A$2:$B$18,2,TRUE))</f>
        <v/>
      </c>
      <c r="F141" s="2"/>
      <c r="G141" s="2"/>
      <c r="H141" s="2" t="str">
        <f t="shared" si="8"/>
        <v/>
      </c>
      <c r="I141" s="2" t="str">
        <f t="shared" si="9"/>
        <v/>
      </c>
    </row>
    <row r="142" spans="1:9">
      <c r="A142" s="2"/>
      <c r="B142" s="2"/>
      <c r="C142" s="2" t="str">
        <f>IF(B142="","",VLOOKUP(B142,'Conversion Tables'!$A$21:$B$37,2,TRUE))</f>
        <v/>
      </c>
      <c r="D142" s="2"/>
      <c r="E142" s="2" t="str">
        <f>IF(D142="","",VLOOKUP(D142,'Conversion Tables'!$A$2:$B$18,2,TRUE))</f>
        <v/>
      </c>
      <c r="F142" s="2"/>
      <c r="G142" s="2"/>
      <c r="H142" s="2" t="str">
        <f t="shared" si="8"/>
        <v/>
      </c>
      <c r="I142" s="2" t="str">
        <f t="shared" si="9"/>
        <v/>
      </c>
    </row>
    <row r="143" spans="1:9">
      <c r="A143" s="2"/>
      <c r="B143" s="2"/>
      <c r="C143" s="2" t="str">
        <f>IF(B143="","",VLOOKUP(B143,'Conversion Tables'!$A$21:$B$37,2,TRUE))</f>
        <v/>
      </c>
      <c r="D143" s="2"/>
      <c r="E143" s="2" t="str">
        <f>IF(D143="","",VLOOKUP(D143,'Conversion Tables'!$A$2:$B$18,2,TRUE))</f>
        <v/>
      </c>
      <c r="F143" s="2"/>
      <c r="G143" s="2"/>
      <c r="H143" s="2" t="str">
        <f t="shared" si="8"/>
        <v/>
      </c>
      <c r="I143" s="2" t="str">
        <f t="shared" si="9"/>
        <v/>
      </c>
    </row>
    <row r="144" spans="1:9">
      <c r="A144" s="2"/>
      <c r="B144" s="2"/>
      <c r="C144" s="2" t="str">
        <f>IF(B144="","",VLOOKUP(B144,'Conversion Tables'!$A$21:$B$37,2,TRUE))</f>
        <v/>
      </c>
      <c r="D144" s="2"/>
      <c r="E144" s="2" t="str">
        <f>IF(D144="","",VLOOKUP(D144,'Conversion Tables'!$A$2:$B$18,2,TRUE))</f>
        <v/>
      </c>
      <c r="F144" s="2"/>
      <c r="G144" s="2"/>
      <c r="H144" s="2" t="str">
        <f t="shared" si="8"/>
        <v/>
      </c>
      <c r="I144" s="2" t="str">
        <f t="shared" si="9"/>
        <v/>
      </c>
    </row>
    <row r="145" spans="1:9">
      <c r="A145" s="2"/>
      <c r="B145" s="2"/>
      <c r="C145" s="2" t="str">
        <f>IF(B145="","",VLOOKUP(B145,'Conversion Tables'!$A$21:$B$37,2,TRUE))</f>
        <v/>
      </c>
      <c r="D145" s="2"/>
      <c r="E145" s="2" t="str">
        <f>IF(D145="","",VLOOKUP(D145,'Conversion Tables'!$A$2:$B$18,2,TRUE))</f>
        <v/>
      </c>
      <c r="F145" s="2"/>
      <c r="G145" s="2"/>
      <c r="H145" s="2" t="str">
        <f t="shared" si="8"/>
        <v/>
      </c>
      <c r="I145" s="2" t="str">
        <f t="shared" si="9"/>
        <v/>
      </c>
    </row>
    <row r="146" spans="1:9">
      <c r="A146" s="2"/>
      <c r="B146" s="2"/>
      <c r="C146" s="2" t="str">
        <f>IF(B146="","",VLOOKUP(B146,'Conversion Tables'!$A$21:$B$37,2,TRUE))</f>
        <v/>
      </c>
      <c r="D146" s="2"/>
      <c r="E146" s="2" t="str">
        <f>IF(D146="","",VLOOKUP(D146,'Conversion Tables'!$A$2:$B$18,2,TRUE))</f>
        <v/>
      </c>
      <c r="F146" s="2"/>
      <c r="G146" s="2"/>
      <c r="H146" s="2" t="str">
        <f t="shared" si="8"/>
        <v/>
      </c>
      <c r="I146" s="2" t="str">
        <f t="shared" si="9"/>
        <v/>
      </c>
    </row>
    <row r="147" spans="1:9">
      <c r="A147" s="2"/>
      <c r="B147" s="2"/>
      <c r="C147" s="2" t="str">
        <f>IF(B147="","",VLOOKUP(B147,'Conversion Tables'!$A$21:$B$37,2,TRUE))</f>
        <v/>
      </c>
      <c r="D147" s="2"/>
      <c r="E147" s="2" t="str">
        <f>IF(D147="","",VLOOKUP(D147,'Conversion Tables'!$A$2:$B$18,2,TRUE))</f>
        <v/>
      </c>
      <c r="F147" s="2"/>
      <c r="G147" s="2"/>
      <c r="H147" s="2" t="str">
        <f t="shared" si="8"/>
        <v/>
      </c>
      <c r="I147" s="2" t="str">
        <f t="shared" si="9"/>
        <v/>
      </c>
    </row>
    <row r="148" spans="1:9">
      <c r="A148" s="2"/>
      <c r="B148" s="2"/>
      <c r="C148" s="2" t="str">
        <f>IF(B148="","",VLOOKUP(B148,'Conversion Tables'!$A$21:$B$37,2,TRUE))</f>
        <v/>
      </c>
      <c r="D148" s="2"/>
      <c r="E148" s="2" t="str">
        <f>IF(D148="","",VLOOKUP(D148,'Conversion Tables'!$A$2:$B$18,2,TRUE))</f>
        <v/>
      </c>
      <c r="F148" s="2"/>
      <c r="G148" s="2"/>
      <c r="H148" s="2" t="str">
        <f t="shared" si="8"/>
        <v/>
      </c>
      <c r="I148" s="2" t="str">
        <f t="shared" si="9"/>
        <v/>
      </c>
    </row>
    <row r="149" spans="1:9">
      <c r="A149" s="2"/>
      <c r="B149" s="2"/>
      <c r="C149" s="2" t="str">
        <f>IF(B149="","",VLOOKUP(B149,'Conversion Tables'!$A$21:$B$37,2,TRUE))</f>
        <v/>
      </c>
      <c r="D149" s="2"/>
      <c r="E149" s="2" t="str">
        <f>IF(D149="","",VLOOKUP(D149,'Conversion Tables'!$A$2:$B$18,2,TRUE))</f>
        <v/>
      </c>
      <c r="F149" s="2"/>
      <c r="G149" s="2"/>
      <c r="H149" s="2" t="str">
        <f t="shared" si="8"/>
        <v/>
      </c>
      <c r="I149" s="2" t="str">
        <f t="shared" si="9"/>
        <v/>
      </c>
    </row>
    <row r="150" spans="1:9">
      <c r="A150" s="2"/>
      <c r="B150" s="2"/>
      <c r="C150" s="2" t="str">
        <f>IF(B150="","",VLOOKUP(B150,'Conversion Tables'!$A$21:$B$37,2,TRUE))</f>
        <v/>
      </c>
      <c r="D150" s="2"/>
      <c r="E150" s="2" t="str">
        <f>IF(D150="","",VLOOKUP(D150,'Conversion Tables'!$A$2:$B$18,2,TRUE))</f>
        <v/>
      </c>
      <c r="F150" s="2"/>
      <c r="G150" s="2"/>
      <c r="H150" s="2" t="str">
        <f t="shared" si="8"/>
        <v/>
      </c>
      <c r="I150" s="2" t="str">
        <f t="shared" si="9"/>
        <v/>
      </c>
    </row>
    <row r="151" spans="1:9">
      <c r="A151" s="2"/>
      <c r="B151" s="2"/>
      <c r="C151" s="2" t="str">
        <f>IF(B151="","",VLOOKUP(B151,'Conversion Tables'!$A$21:$B$37,2,TRUE))</f>
        <v/>
      </c>
      <c r="D151" s="2"/>
      <c r="E151" s="2" t="str">
        <f>IF(D151="","",VLOOKUP(D151,'Conversion Tables'!$A$2:$B$18,2,TRUE))</f>
        <v/>
      </c>
      <c r="F151" s="2"/>
      <c r="G151" s="2"/>
      <c r="H151" s="2" t="str">
        <f t="shared" si="8"/>
        <v/>
      </c>
      <c r="I151" s="2" t="str">
        <f t="shared" si="9"/>
        <v/>
      </c>
    </row>
    <row r="152" spans="1:9">
      <c r="A152" s="2"/>
      <c r="B152" s="2"/>
      <c r="C152" s="2" t="str">
        <f>IF(B152="","",VLOOKUP(B152,'Conversion Tables'!$A$21:$B$37,2,TRUE))</f>
        <v/>
      </c>
      <c r="D152" s="2"/>
      <c r="E152" s="2" t="str">
        <f>IF(D152="","",VLOOKUP(D152,'Conversion Tables'!$A$2:$B$18,2,TRUE))</f>
        <v/>
      </c>
      <c r="F152" s="2"/>
      <c r="G152" s="2"/>
      <c r="H152" s="2" t="str">
        <f t="shared" si="8"/>
        <v/>
      </c>
      <c r="I152" s="2" t="str">
        <f t="shared" si="9"/>
        <v/>
      </c>
    </row>
    <row r="153" spans="1:9">
      <c r="A153" s="2"/>
      <c r="B153" s="2"/>
      <c r="C153" s="2" t="str">
        <f>IF(B153="","",VLOOKUP(B153,'Conversion Tables'!$A$21:$B$37,2,TRUE))</f>
        <v/>
      </c>
      <c r="D153" s="2"/>
      <c r="E153" s="2" t="str">
        <f>IF(D153="","",VLOOKUP(D153,'Conversion Tables'!$A$2:$B$18,2,TRUE))</f>
        <v/>
      </c>
      <c r="F153" s="2"/>
      <c r="G153" s="2"/>
      <c r="H153" s="2" t="str">
        <f t="shared" si="8"/>
        <v/>
      </c>
      <c r="I153" s="2" t="str">
        <f t="shared" si="9"/>
        <v/>
      </c>
    </row>
    <row r="154" spans="1:9">
      <c r="A154" s="2"/>
      <c r="B154" s="2"/>
      <c r="C154" s="2" t="str">
        <f>IF(B154="","",VLOOKUP(B154,'Conversion Tables'!$A$21:$B$37,2,TRUE))</f>
        <v/>
      </c>
      <c r="D154" s="2"/>
      <c r="E154" s="2" t="str">
        <f>IF(D154="","",VLOOKUP(D154,'Conversion Tables'!$A$2:$B$18,2,TRUE))</f>
        <v/>
      </c>
      <c r="F154" s="2"/>
      <c r="G154" s="2"/>
      <c r="H154" s="2" t="str">
        <f t="shared" si="8"/>
        <v/>
      </c>
      <c r="I154" s="2" t="str">
        <f t="shared" si="9"/>
        <v/>
      </c>
    </row>
    <row r="155" spans="1:9">
      <c r="A155" s="2"/>
      <c r="B155" s="2"/>
      <c r="C155" s="2" t="str">
        <f>IF(B155="","",VLOOKUP(B155,'Conversion Tables'!$A$21:$B$37,2,TRUE))</f>
        <v/>
      </c>
      <c r="D155" s="2"/>
      <c r="E155" s="2" t="str">
        <f>IF(D155="","",VLOOKUP(D155,'Conversion Tables'!$A$2:$B$18,2,TRUE))</f>
        <v/>
      </c>
      <c r="F155" s="2"/>
      <c r="G155" s="2"/>
      <c r="H155" s="2" t="str">
        <f t="shared" si="8"/>
        <v/>
      </c>
      <c r="I155" s="2" t="str">
        <f t="shared" si="9"/>
        <v/>
      </c>
    </row>
    <row r="156" spans="1:9">
      <c r="A156" s="2"/>
      <c r="B156" s="2"/>
      <c r="C156" s="2" t="str">
        <f>IF(B156="","",VLOOKUP(B156,'Conversion Tables'!$A$21:$B$37,2,TRUE))</f>
        <v/>
      </c>
      <c r="D156" s="2"/>
      <c r="E156" s="2" t="str">
        <f>IF(D156="","",VLOOKUP(D156,'Conversion Tables'!$A$2:$B$18,2,TRUE))</f>
        <v/>
      </c>
      <c r="F156" s="2"/>
      <c r="G156" s="2"/>
      <c r="H156" s="2" t="str">
        <f t="shared" si="8"/>
        <v/>
      </c>
      <c r="I156" s="2" t="str">
        <f t="shared" si="9"/>
        <v/>
      </c>
    </row>
    <row r="157" spans="1:9">
      <c r="A157" s="2"/>
      <c r="B157" s="2"/>
      <c r="C157" s="2" t="str">
        <f>IF(B157="","",VLOOKUP(B157,'Conversion Tables'!$A$21:$B$37,2,TRUE))</f>
        <v/>
      </c>
      <c r="D157" s="2"/>
      <c r="E157" s="2" t="str">
        <f>IF(D157="","",VLOOKUP(D157,'Conversion Tables'!$A$2:$B$18,2,TRUE))</f>
        <v/>
      </c>
      <c r="F157" s="2"/>
      <c r="G157" s="2"/>
      <c r="H157" s="2" t="str">
        <f t="shared" si="8"/>
        <v/>
      </c>
      <c r="I157" s="2" t="str">
        <f t="shared" si="9"/>
        <v/>
      </c>
    </row>
    <row r="158" spans="1:9">
      <c r="A158" s="2"/>
      <c r="B158" s="2"/>
      <c r="C158" s="2" t="str">
        <f>IF(B158="","",VLOOKUP(B158,'Conversion Tables'!$A$21:$B$37,2,TRUE))</f>
        <v/>
      </c>
      <c r="D158" s="2"/>
      <c r="E158" s="2" t="str">
        <f>IF(D158="","",VLOOKUP(D158,'Conversion Tables'!$A$2:$B$18,2,TRUE))</f>
        <v/>
      </c>
      <c r="F158" s="2"/>
      <c r="G158" s="2"/>
      <c r="H158" s="2" t="str">
        <f t="shared" si="8"/>
        <v/>
      </c>
      <c r="I158" s="2" t="str">
        <f t="shared" si="9"/>
        <v/>
      </c>
    </row>
    <row r="159" spans="1:9">
      <c r="A159" s="2"/>
      <c r="B159" s="2"/>
      <c r="C159" s="2" t="str">
        <f>IF(B159="","",VLOOKUP(B159,'Conversion Tables'!$A$21:$B$37,2,TRUE))</f>
        <v/>
      </c>
      <c r="D159" s="2"/>
      <c r="E159" s="2" t="str">
        <f>IF(D159="","",VLOOKUP(D159,'Conversion Tables'!$A$2:$B$18,2,TRUE))</f>
        <v/>
      </c>
      <c r="F159" s="2"/>
      <c r="G159" s="2"/>
      <c r="H159" s="2" t="str">
        <f t="shared" si="8"/>
        <v/>
      </c>
      <c r="I159" s="2" t="str">
        <f t="shared" si="9"/>
        <v/>
      </c>
    </row>
    <row r="160" spans="1:9">
      <c r="A160" s="2"/>
      <c r="B160" s="2"/>
      <c r="C160" s="2" t="str">
        <f>IF(B160="","",VLOOKUP(B160,'Conversion Tables'!$A$21:$B$37,2,TRUE))</f>
        <v/>
      </c>
      <c r="D160" s="2"/>
      <c r="E160" s="2" t="str">
        <f>IF(D160="","",VLOOKUP(D160,'Conversion Tables'!$A$2:$B$18,2,TRUE))</f>
        <v/>
      </c>
      <c r="F160" s="2"/>
      <c r="G160" s="2"/>
      <c r="H160" s="2" t="str">
        <f t="shared" si="8"/>
        <v/>
      </c>
      <c r="I160" s="2" t="str">
        <f t="shared" si="9"/>
        <v/>
      </c>
    </row>
    <row r="161" spans="1:9">
      <c r="A161" s="2"/>
      <c r="B161" s="2"/>
      <c r="C161" s="2" t="str">
        <f>IF(B161="","",VLOOKUP(B161,'Conversion Tables'!$A$21:$B$37,2,TRUE))</f>
        <v/>
      </c>
      <c r="D161" s="2"/>
      <c r="E161" s="2" t="str">
        <f>IF(D161="","",VLOOKUP(D161,'Conversion Tables'!$A$2:$B$18,2,TRUE))</f>
        <v/>
      </c>
      <c r="F161" s="2"/>
      <c r="G161" s="2"/>
      <c r="H161" s="2" t="str">
        <f t="shared" si="8"/>
        <v/>
      </c>
      <c r="I161" s="2" t="str">
        <f t="shared" si="9"/>
        <v/>
      </c>
    </row>
    <row r="162" spans="1:9">
      <c r="A162" s="2"/>
      <c r="B162" s="2"/>
      <c r="C162" s="2" t="str">
        <f>IF(B162="","",VLOOKUP(B162,'Conversion Tables'!$A$21:$B$37,2,TRUE))</f>
        <v/>
      </c>
      <c r="D162" s="2"/>
      <c r="E162" s="2" t="str">
        <f>IF(D162="","",VLOOKUP(D162,'Conversion Tables'!$A$2:$B$18,2,TRUE))</f>
        <v/>
      </c>
      <c r="F162" s="2"/>
      <c r="G162" s="2"/>
      <c r="H162" s="2" t="str">
        <f t="shared" ref="H162:H193" si="10">IF(AND(C162="",E162="",F162="",G162=""),"",ROUND(AVERAGE(C162,E162,F162,G162)*2,0)/2)</f>
        <v/>
      </c>
      <c r="I162" s="2" t="str">
        <f t="shared" ref="I162:I193" si="11">IF(H162="","",IF(H162=6,5,IF(H162=6.5,10,IF(H162=7,15,IF(H162=7.5,20,IF(H162=8,30,0))))))</f>
        <v/>
      </c>
    </row>
    <row r="163" spans="1:9">
      <c r="A163" s="2"/>
      <c r="B163" s="2"/>
      <c r="C163" s="2" t="str">
        <f>IF(B163="","",VLOOKUP(B163,'Conversion Tables'!$A$21:$B$37,2,TRUE))</f>
        <v/>
      </c>
      <c r="D163" s="2"/>
      <c r="E163" s="2" t="str">
        <f>IF(D163="","",VLOOKUP(D163,'Conversion Tables'!$A$2:$B$18,2,TRUE))</f>
        <v/>
      </c>
      <c r="F163" s="2"/>
      <c r="G163" s="2"/>
      <c r="H163" s="2" t="str">
        <f t="shared" si="10"/>
        <v/>
      </c>
      <c r="I163" s="2" t="str">
        <f t="shared" si="11"/>
        <v/>
      </c>
    </row>
    <row r="164" spans="1:9">
      <c r="A164" s="2"/>
      <c r="B164" s="2"/>
      <c r="C164" s="2" t="str">
        <f>IF(B164="","",VLOOKUP(B164,'Conversion Tables'!$A$21:$B$37,2,TRUE))</f>
        <v/>
      </c>
      <c r="D164" s="2"/>
      <c r="E164" s="2" t="str">
        <f>IF(D164="","",VLOOKUP(D164,'Conversion Tables'!$A$2:$B$18,2,TRUE))</f>
        <v/>
      </c>
      <c r="F164" s="2"/>
      <c r="G164" s="2"/>
      <c r="H164" s="2" t="str">
        <f t="shared" si="10"/>
        <v/>
      </c>
      <c r="I164" s="2" t="str">
        <f t="shared" si="11"/>
        <v/>
      </c>
    </row>
    <row r="165" spans="1:9">
      <c r="A165" s="2"/>
      <c r="B165" s="2"/>
      <c r="C165" s="2" t="str">
        <f>IF(B165="","",VLOOKUP(B165,'Conversion Tables'!$A$21:$B$37,2,TRUE))</f>
        <v/>
      </c>
      <c r="D165" s="2"/>
      <c r="E165" s="2" t="str">
        <f>IF(D165="","",VLOOKUP(D165,'Conversion Tables'!$A$2:$B$18,2,TRUE))</f>
        <v/>
      </c>
      <c r="F165" s="2"/>
      <c r="G165" s="2"/>
      <c r="H165" s="2" t="str">
        <f t="shared" si="10"/>
        <v/>
      </c>
      <c r="I165" s="2" t="str">
        <f t="shared" si="11"/>
        <v/>
      </c>
    </row>
    <row r="166" spans="1:9">
      <c r="A166" s="2"/>
      <c r="B166" s="2"/>
      <c r="C166" s="2" t="str">
        <f>IF(B166="","",VLOOKUP(B166,'Conversion Tables'!$A$21:$B$37,2,TRUE))</f>
        <v/>
      </c>
      <c r="D166" s="2"/>
      <c r="E166" s="2" t="str">
        <f>IF(D166="","",VLOOKUP(D166,'Conversion Tables'!$A$2:$B$18,2,TRUE))</f>
        <v/>
      </c>
      <c r="F166" s="2"/>
      <c r="G166" s="2"/>
      <c r="H166" s="2" t="str">
        <f t="shared" si="10"/>
        <v/>
      </c>
      <c r="I166" s="2" t="str">
        <f t="shared" si="11"/>
        <v/>
      </c>
    </row>
    <row r="167" spans="1:9">
      <c r="A167" s="2"/>
      <c r="B167" s="2"/>
      <c r="C167" s="2" t="str">
        <f>IF(B167="","",VLOOKUP(B167,'Conversion Tables'!$A$21:$B$37,2,TRUE))</f>
        <v/>
      </c>
      <c r="D167" s="2"/>
      <c r="E167" s="2" t="str">
        <f>IF(D167="","",VLOOKUP(D167,'Conversion Tables'!$A$2:$B$18,2,TRUE))</f>
        <v/>
      </c>
      <c r="F167" s="2"/>
      <c r="G167" s="2"/>
      <c r="H167" s="2" t="str">
        <f t="shared" si="10"/>
        <v/>
      </c>
      <c r="I167" s="2" t="str">
        <f t="shared" si="11"/>
        <v/>
      </c>
    </row>
    <row r="168" spans="1:9">
      <c r="A168" s="2"/>
      <c r="B168" s="2"/>
      <c r="C168" s="2" t="str">
        <f>IF(B168="","",VLOOKUP(B168,'Conversion Tables'!$A$21:$B$37,2,TRUE))</f>
        <v/>
      </c>
      <c r="D168" s="2"/>
      <c r="E168" s="2" t="str">
        <f>IF(D168="","",VLOOKUP(D168,'Conversion Tables'!$A$2:$B$18,2,TRUE))</f>
        <v/>
      </c>
      <c r="F168" s="2"/>
      <c r="G168" s="2"/>
      <c r="H168" s="2" t="str">
        <f t="shared" si="10"/>
        <v/>
      </c>
      <c r="I168" s="2" t="str">
        <f t="shared" si="11"/>
        <v/>
      </c>
    </row>
    <row r="169" spans="1:9">
      <c r="A169" s="2"/>
      <c r="B169" s="2"/>
      <c r="C169" s="2" t="str">
        <f>IF(B169="","",VLOOKUP(B169,'Conversion Tables'!$A$21:$B$37,2,TRUE))</f>
        <v/>
      </c>
      <c r="D169" s="2"/>
      <c r="E169" s="2" t="str">
        <f>IF(D169="","",VLOOKUP(D169,'Conversion Tables'!$A$2:$B$18,2,TRUE))</f>
        <v/>
      </c>
      <c r="F169" s="2"/>
      <c r="G169" s="2"/>
      <c r="H169" s="2" t="str">
        <f t="shared" si="10"/>
        <v/>
      </c>
      <c r="I169" s="2" t="str">
        <f t="shared" si="11"/>
        <v/>
      </c>
    </row>
    <row r="170" spans="1:9">
      <c r="A170" s="2"/>
      <c r="B170" s="2"/>
      <c r="C170" s="2" t="str">
        <f>IF(B170="","",VLOOKUP(B170,'Conversion Tables'!$A$21:$B$37,2,TRUE))</f>
        <v/>
      </c>
      <c r="D170" s="2"/>
      <c r="E170" s="2" t="str">
        <f>IF(D170="","",VLOOKUP(D170,'Conversion Tables'!$A$2:$B$18,2,TRUE))</f>
        <v/>
      </c>
      <c r="F170" s="2"/>
      <c r="G170" s="2"/>
      <c r="H170" s="2" t="str">
        <f t="shared" si="10"/>
        <v/>
      </c>
      <c r="I170" s="2" t="str">
        <f t="shared" si="11"/>
        <v/>
      </c>
    </row>
    <row r="171" spans="1:9">
      <c r="A171" s="2"/>
      <c r="B171" s="2"/>
      <c r="C171" s="2" t="str">
        <f>IF(B171="","",VLOOKUP(B171,'Conversion Tables'!$A$21:$B$37,2,TRUE))</f>
        <v/>
      </c>
      <c r="D171" s="2"/>
      <c r="E171" s="2" t="str">
        <f>IF(D171="","",VLOOKUP(D171,'Conversion Tables'!$A$2:$B$18,2,TRUE))</f>
        <v/>
      </c>
      <c r="F171" s="2"/>
      <c r="G171" s="2"/>
      <c r="H171" s="2" t="str">
        <f t="shared" si="10"/>
        <v/>
      </c>
      <c r="I171" s="2" t="str">
        <f t="shared" si="11"/>
        <v/>
      </c>
    </row>
    <row r="172" spans="1:9">
      <c r="A172" s="2"/>
      <c r="B172" s="2"/>
      <c r="C172" s="2" t="str">
        <f>IF(B172="","",VLOOKUP(B172,'Conversion Tables'!$A$21:$B$37,2,TRUE))</f>
        <v/>
      </c>
      <c r="D172" s="2"/>
      <c r="E172" s="2" t="str">
        <f>IF(D172="","",VLOOKUP(D172,'Conversion Tables'!$A$2:$B$18,2,TRUE))</f>
        <v/>
      </c>
      <c r="F172" s="2"/>
      <c r="G172" s="2"/>
      <c r="H172" s="2" t="str">
        <f t="shared" si="10"/>
        <v/>
      </c>
      <c r="I172" s="2" t="str">
        <f t="shared" si="11"/>
        <v/>
      </c>
    </row>
    <row r="173" spans="1:9">
      <c r="A173" s="2"/>
      <c r="B173" s="2"/>
      <c r="C173" s="2" t="str">
        <f>IF(B173="","",VLOOKUP(B173,'Conversion Tables'!$A$21:$B$37,2,TRUE))</f>
        <v/>
      </c>
      <c r="D173" s="2"/>
      <c r="E173" s="2" t="str">
        <f>IF(D173="","",VLOOKUP(D173,'Conversion Tables'!$A$2:$B$18,2,TRUE))</f>
        <v/>
      </c>
      <c r="F173" s="2"/>
      <c r="G173" s="2"/>
      <c r="H173" s="2" t="str">
        <f t="shared" si="10"/>
        <v/>
      </c>
      <c r="I173" s="2" t="str">
        <f t="shared" si="11"/>
        <v/>
      </c>
    </row>
    <row r="174" spans="1:9">
      <c r="A174" s="2"/>
      <c r="B174" s="2"/>
      <c r="C174" s="2" t="str">
        <f>IF(B174="","",VLOOKUP(B174,'Conversion Tables'!$A$21:$B$37,2,TRUE))</f>
        <v/>
      </c>
      <c r="D174" s="2"/>
      <c r="E174" s="2" t="str">
        <f>IF(D174="","",VLOOKUP(D174,'Conversion Tables'!$A$2:$B$18,2,TRUE))</f>
        <v/>
      </c>
      <c r="F174" s="2"/>
      <c r="G174" s="2"/>
      <c r="H174" s="2" t="str">
        <f t="shared" si="10"/>
        <v/>
      </c>
      <c r="I174" s="2" t="str">
        <f t="shared" si="11"/>
        <v/>
      </c>
    </row>
    <row r="175" spans="1:9">
      <c r="A175" s="2"/>
      <c r="B175" s="2"/>
      <c r="C175" s="2" t="str">
        <f>IF(B175="","",VLOOKUP(B175,'Conversion Tables'!$A$21:$B$37,2,TRUE))</f>
        <v/>
      </c>
      <c r="D175" s="2"/>
      <c r="E175" s="2" t="str">
        <f>IF(D175="","",VLOOKUP(D175,'Conversion Tables'!$A$2:$B$18,2,TRUE))</f>
        <v/>
      </c>
      <c r="F175" s="2"/>
      <c r="G175" s="2"/>
      <c r="H175" s="2" t="str">
        <f t="shared" si="10"/>
        <v/>
      </c>
      <c r="I175" s="2" t="str">
        <f t="shared" si="11"/>
        <v/>
      </c>
    </row>
    <row r="176" spans="1:9">
      <c r="A176" s="2"/>
      <c r="B176" s="2"/>
      <c r="C176" s="2" t="str">
        <f>IF(B176="","",VLOOKUP(B176,'Conversion Tables'!$A$21:$B$37,2,TRUE))</f>
        <v/>
      </c>
      <c r="D176" s="2"/>
      <c r="E176" s="2" t="str">
        <f>IF(D176="","",VLOOKUP(D176,'Conversion Tables'!$A$2:$B$18,2,TRUE))</f>
        <v/>
      </c>
      <c r="F176" s="2"/>
      <c r="G176" s="2"/>
      <c r="H176" s="2" t="str">
        <f t="shared" si="10"/>
        <v/>
      </c>
      <c r="I176" s="2" t="str">
        <f t="shared" si="11"/>
        <v/>
      </c>
    </row>
    <row r="177" spans="1:9">
      <c r="A177" s="2"/>
      <c r="B177" s="2"/>
      <c r="C177" s="2" t="str">
        <f>IF(B177="","",VLOOKUP(B177,'Conversion Tables'!$A$21:$B$37,2,TRUE))</f>
        <v/>
      </c>
      <c r="D177" s="2"/>
      <c r="E177" s="2" t="str">
        <f>IF(D177="","",VLOOKUP(D177,'Conversion Tables'!$A$2:$B$18,2,TRUE))</f>
        <v/>
      </c>
      <c r="F177" s="2"/>
      <c r="G177" s="2"/>
      <c r="H177" s="2" t="str">
        <f t="shared" si="10"/>
        <v/>
      </c>
      <c r="I177" s="2" t="str">
        <f t="shared" si="11"/>
        <v/>
      </c>
    </row>
    <row r="178" spans="1:9">
      <c r="A178" s="2"/>
      <c r="B178" s="2"/>
      <c r="C178" s="2" t="str">
        <f>IF(B178="","",VLOOKUP(B178,'Conversion Tables'!$A$21:$B$37,2,TRUE))</f>
        <v/>
      </c>
      <c r="D178" s="2"/>
      <c r="E178" s="2" t="str">
        <f>IF(D178="","",VLOOKUP(D178,'Conversion Tables'!$A$2:$B$18,2,TRUE))</f>
        <v/>
      </c>
      <c r="F178" s="2"/>
      <c r="G178" s="2"/>
      <c r="H178" s="2" t="str">
        <f t="shared" si="10"/>
        <v/>
      </c>
      <c r="I178" s="2" t="str">
        <f t="shared" si="11"/>
        <v/>
      </c>
    </row>
    <row r="179" spans="1:9">
      <c r="A179" s="2"/>
      <c r="B179" s="2"/>
      <c r="C179" s="2" t="str">
        <f>IF(B179="","",VLOOKUP(B179,'Conversion Tables'!$A$21:$B$37,2,TRUE))</f>
        <v/>
      </c>
      <c r="D179" s="2"/>
      <c r="E179" s="2" t="str">
        <f>IF(D179="","",VLOOKUP(D179,'Conversion Tables'!$A$2:$B$18,2,TRUE))</f>
        <v/>
      </c>
      <c r="F179" s="2"/>
      <c r="G179" s="2"/>
      <c r="H179" s="2" t="str">
        <f t="shared" si="10"/>
        <v/>
      </c>
      <c r="I179" s="2" t="str">
        <f t="shared" si="11"/>
        <v/>
      </c>
    </row>
    <row r="180" spans="1:9">
      <c r="A180" s="2"/>
      <c r="B180" s="2"/>
      <c r="C180" s="2" t="str">
        <f>IF(B180="","",VLOOKUP(B180,'Conversion Tables'!$A$21:$B$37,2,TRUE))</f>
        <v/>
      </c>
      <c r="D180" s="2"/>
      <c r="E180" s="2" t="str">
        <f>IF(D180="","",VLOOKUP(D180,'Conversion Tables'!$A$2:$B$18,2,TRUE))</f>
        <v/>
      </c>
      <c r="F180" s="2"/>
      <c r="G180" s="2"/>
      <c r="H180" s="2" t="str">
        <f t="shared" si="10"/>
        <v/>
      </c>
      <c r="I180" s="2" t="str">
        <f t="shared" si="11"/>
        <v/>
      </c>
    </row>
    <row r="181" spans="1:9">
      <c r="A181" s="2"/>
      <c r="B181" s="2"/>
      <c r="C181" s="2" t="str">
        <f>IF(B181="","",VLOOKUP(B181,'Conversion Tables'!$A$21:$B$37,2,TRUE))</f>
        <v/>
      </c>
      <c r="D181" s="2"/>
      <c r="E181" s="2" t="str">
        <f>IF(D181="","",VLOOKUP(D181,'Conversion Tables'!$A$2:$B$18,2,TRUE))</f>
        <v/>
      </c>
      <c r="F181" s="2"/>
      <c r="G181" s="2"/>
      <c r="H181" s="2" t="str">
        <f t="shared" si="10"/>
        <v/>
      </c>
      <c r="I181" s="2" t="str">
        <f t="shared" si="11"/>
        <v/>
      </c>
    </row>
    <row r="182" spans="1:9">
      <c r="A182" s="2"/>
      <c r="B182" s="2"/>
      <c r="C182" s="2" t="str">
        <f>IF(B182="","",VLOOKUP(B182,'Conversion Tables'!$A$21:$B$37,2,TRUE))</f>
        <v/>
      </c>
      <c r="D182" s="2"/>
      <c r="E182" s="2" t="str">
        <f>IF(D182="","",VLOOKUP(D182,'Conversion Tables'!$A$2:$B$18,2,TRUE))</f>
        <v/>
      </c>
      <c r="F182" s="2"/>
      <c r="G182" s="2"/>
      <c r="H182" s="2" t="str">
        <f t="shared" si="10"/>
        <v/>
      </c>
      <c r="I182" s="2" t="str">
        <f t="shared" si="11"/>
        <v/>
      </c>
    </row>
    <row r="183" spans="1:9">
      <c r="A183" s="2"/>
      <c r="B183" s="2"/>
      <c r="C183" s="2" t="str">
        <f>IF(B183="","",VLOOKUP(B183,'Conversion Tables'!$A$21:$B$37,2,TRUE))</f>
        <v/>
      </c>
      <c r="D183" s="2"/>
      <c r="E183" s="2" t="str">
        <f>IF(D183="","",VLOOKUP(D183,'Conversion Tables'!$A$2:$B$18,2,TRUE))</f>
        <v/>
      </c>
      <c r="F183" s="2"/>
      <c r="G183" s="2"/>
      <c r="H183" s="2" t="str">
        <f t="shared" si="10"/>
        <v/>
      </c>
      <c r="I183" s="2" t="str">
        <f t="shared" si="11"/>
        <v/>
      </c>
    </row>
    <row r="184" spans="1:9">
      <c r="A184" s="2"/>
      <c r="B184" s="2"/>
      <c r="C184" s="2" t="str">
        <f>IF(B184="","",VLOOKUP(B184,'Conversion Tables'!$A$21:$B$37,2,TRUE))</f>
        <v/>
      </c>
      <c r="D184" s="2"/>
      <c r="E184" s="2" t="str">
        <f>IF(D184="","",VLOOKUP(D184,'Conversion Tables'!$A$2:$B$18,2,TRUE))</f>
        <v/>
      </c>
      <c r="F184" s="2"/>
      <c r="G184" s="2"/>
      <c r="H184" s="2" t="str">
        <f t="shared" si="10"/>
        <v/>
      </c>
      <c r="I184" s="2" t="str">
        <f t="shared" si="11"/>
        <v/>
      </c>
    </row>
    <row r="185" spans="1:9">
      <c r="A185" s="2"/>
      <c r="B185" s="2"/>
      <c r="C185" s="2" t="str">
        <f>IF(B185="","",VLOOKUP(B185,'Conversion Tables'!$A$21:$B$37,2,TRUE))</f>
        <v/>
      </c>
      <c r="D185" s="2"/>
      <c r="E185" s="2" t="str">
        <f>IF(D185="","",VLOOKUP(D185,'Conversion Tables'!$A$2:$B$18,2,TRUE))</f>
        <v/>
      </c>
      <c r="F185" s="2"/>
      <c r="G185" s="2"/>
      <c r="H185" s="2" t="str">
        <f t="shared" si="10"/>
        <v/>
      </c>
      <c r="I185" s="2" t="str">
        <f t="shared" si="11"/>
        <v/>
      </c>
    </row>
    <row r="186" spans="1:9">
      <c r="A186" s="2"/>
      <c r="B186" s="2"/>
      <c r="C186" s="2" t="str">
        <f>IF(B186="","",VLOOKUP(B186,'Conversion Tables'!$A$21:$B$37,2,TRUE))</f>
        <v/>
      </c>
      <c r="D186" s="2"/>
      <c r="E186" s="2" t="str">
        <f>IF(D186="","",VLOOKUP(D186,'Conversion Tables'!$A$2:$B$18,2,TRUE))</f>
        <v/>
      </c>
      <c r="F186" s="2"/>
      <c r="G186" s="2"/>
      <c r="H186" s="2" t="str">
        <f t="shared" si="10"/>
        <v/>
      </c>
      <c r="I186" s="2" t="str">
        <f t="shared" si="11"/>
        <v/>
      </c>
    </row>
    <row r="187" spans="1:9">
      <c r="A187" s="2"/>
      <c r="B187" s="2"/>
      <c r="C187" s="2" t="str">
        <f>IF(B187="","",VLOOKUP(B187,'Conversion Tables'!$A$21:$B$37,2,TRUE))</f>
        <v/>
      </c>
      <c r="D187" s="2"/>
      <c r="E187" s="2" t="str">
        <f>IF(D187="","",VLOOKUP(D187,'Conversion Tables'!$A$2:$B$18,2,TRUE))</f>
        <v/>
      </c>
      <c r="F187" s="2"/>
      <c r="G187" s="2"/>
      <c r="H187" s="2" t="str">
        <f t="shared" si="10"/>
        <v/>
      </c>
      <c r="I187" s="2" t="str">
        <f t="shared" si="11"/>
        <v/>
      </c>
    </row>
    <row r="188" spans="1:9">
      <c r="A188" s="2"/>
      <c r="B188" s="2"/>
      <c r="C188" s="2" t="str">
        <f>IF(B188="","",VLOOKUP(B188,'Conversion Tables'!$A$21:$B$37,2,TRUE))</f>
        <v/>
      </c>
      <c r="D188" s="2"/>
      <c r="E188" s="2" t="str">
        <f>IF(D188="","",VLOOKUP(D188,'Conversion Tables'!$A$2:$B$18,2,TRUE))</f>
        <v/>
      </c>
      <c r="F188" s="2"/>
      <c r="G188" s="2"/>
      <c r="H188" s="2" t="str">
        <f t="shared" si="10"/>
        <v/>
      </c>
      <c r="I188" s="2" t="str">
        <f t="shared" si="11"/>
        <v/>
      </c>
    </row>
    <row r="189" spans="1:9">
      <c r="A189" s="2"/>
      <c r="B189" s="2"/>
      <c r="C189" s="2" t="str">
        <f>IF(B189="","",VLOOKUP(B189,'Conversion Tables'!$A$21:$B$37,2,TRUE))</f>
        <v/>
      </c>
      <c r="D189" s="2"/>
      <c r="E189" s="2" t="str">
        <f>IF(D189="","",VLOOKUP(D189,'Conversion Tables'!$A$2:$B$18,2,TRUE))</f>
        <v/>
      </c>
      <c r="F189" s="2"/>
      <c r="G189" s="2"/>
      <c r="H189" s="2" t="str">
        <f t="shared" si="10"/>
        <v/>
      </c>
      <c r="I189" s="2" t="str">
        <f t="shared" si="11"/>
        <v/>
      </c>
    </row>
    <row r="190" spans="1:9">
      <c r="A190" s="2"/>
      <c r="B190" s="2"/>
      <c r="C190" s="2" t="str">
        <f>IF(B190="","",VLOOKUP(B190,'Conversion Tables'!$A$21:$B$37,2,TRUE))</f>
        <v/>
      </c>
      <c r="D190" s="2"/>
      <c r="E190" s="2" t="str">
        <f>IF(D190="","",VLOOKUP(D190,'Conversion Tables'!$A$2:$B$18,2,TRUE))</f>
        <v/>
      </c>
      <c r="F190" s="2"/>
      <c r="G190" s="2"/>
      <c r="H190" s="2" t="str">
        <f t="shared" si="10"/>
        <v/>
      </c>
      <c r="I190" s="2" t="str">
        <f t="shared" si="11"/>
        <v/>
      </c>
    </row>
    <row r="191" spans="1:9">
      <c r="A191" s="2"/>
      <c r="B191" s="2"/>
      <c r="C191" s="2" t="str">
        <f>IF(B191="","",VLOOKUP(B191,'Conversion Tables'!$A$21:$B$37,2,TRUE))</f>
        <v/>
      </c>
      <c r="D191" s="2"/>
      <c r="E191" s="2" t="str">
        <f>IF(D191="","",VLOOKUP(D191,'Conversion Tables'!$A$2:$B$18,2,TRUE))</f>
        <v/>
      </c>
      <c r="F191" s="2"/>
      <c r="G191" s="2"/>
      <c r="H191" s="2" t="str">
        <f t="shared" si="10"/>
        <v/>
      </c>
      <c r="I191" s="2" t="str">
        <f t="shared" si="11"/>
        <v/>
      </c>
    </row>
    <row r="192" spans="1:9">
      <c r="A192" s="2"/>
      <c r="B192" s="2"/>
      <c r="C192" s="2" t="str">
        <f>IF(B192="","",VLOOKUP(B192,'Conversion Tables'!$A$21:$B$37,2,TRUE))</f>
        <v/>
      </c>
      <c r="D192" s="2"/>
      <c r="E192" s="2" t="str">
        <f>IF(D192="","",VLOOKUP(D192,'Conversion Tables'!$A$2:$B$18,2,TRUE))</f>
        <v/>
      </c>
      <c r="F192" s="2"/>
      <c r="G192" s="2"/>
      <c r="H192" s="2" t="str">
        <f t="shared" si="10"/>
        <v/>
      </c>
      <c r="I192" s="2" t="str">
        <f t="shared" si="11"/>
        <v/>
      </c>
    </row>
    <row r="193" spans="1:9">
      <c r="A193" s="2"/>
      <c r="B193" s="2"/>
      <c r="C193" s="2" t="str">
        <f>IF(B193="","",VLOOKUP(B193,'Conversion Tables'!$A$21:$B$37,2,TRUE))</f>
        <v/>
      </c>
      <c r="D193" s="2"/>
      <c r="E193" s="2" t="str">
        <f>IF(D193="","",VLOOKUP(D193,'Conversion Tables'!$A$2:$B$18,2,TRUE))</f>
        <v/>
      </c>
      <c r="F193" s="2"/>
      <c r="G193" s="2"/>
      <c r="H193" s="2" t="str">
        <f t="shared" si="10"/>
        <v/>
      </c>
      <c r="I193" s="2" t="str">
        <f t="shared" si="11"/>
        <v/>
      </c>
    </row>
    <row r="194" spans="1:9">
      <c r="A194" s="2"/>
      <c r="B194" s="2"/>
      <c r="C194" s="2" t="str">
        <f>IF(B194="","",VLOOKUP(B194,'Conversion Tables'!$A$21:$B$37,2,TRUE))</f>
        <v/>
      </c>
      <c r="D194" s="2"/>
      <c r="E194" s="2" t="str">
        <f>IF(D194="","",VLOOKUP(D194,'Conversion Tables'!$A$2:$B$18,2,TRUE))</f>
        <v/>
      </c>
      <c r="F194" s="2"/>
      <c r="G194" s="2"/>
      <c r="H194" s="2" t="str">
        <f t="shared" ref="H194:H201" si="12">IF(AND(C194="",E194="",F194="",G194=""),"",ROUND(AVERAGE(C194,E194,F194,G194)*2,0)/2)</f>
        <v/>
      </c>
      <c r="I194" s="2" t="str">
        <f t="shared" ref="I194:I201" si="13">IF(H194="","",IF(H194=6,5,IF(H194=6.5,10,IF(H194=7,15,IF(H194=7.5,20,IF(H194=8,30,0))))))</f>
        <v/>
      </c>
    </row>
    <row r="195" spans="1:9">
      <c r="A195" s="2"/>
      <c r="B195" s="2"/>
      <c r="C195" s="2" t="str">
        <f>IF(B195="","",VLOOKUP(B195,'Conversion Tables'!$A$21:$B$37,2,TRUE))</f>
        <v/>
      </c>
      <c r="D195" s="2"/>
      <c r="E195" s="2" t="str">
        <f>IF(D195="","",VLOOKUP(D195,'Conversion Tables'!$A$2:$B$18,2,TRUE))</f>
        <v/>
      </c>
      <c r="F195" s="2"/>
      <c r="G195" s="2"/>
      <c r="H195" s="2" t="str">
        <f t="shared" si="12"/>
        <v/>
      </c>
      <c r="I195" s="2" t="str">
        <f t="shared" si="13"/>
        <v/>
      </c>
    </row>
    <row r="196" spans="1:9">
      <c r="A196" s="2"/>
      <c r="B196" s="2"/>
      <c r="C196" s="2" t="str">
        <f>IF(B196="","",VLOOKUP(B196,'Conversion Tables'!$A$21:$B$37,2,TRUE))</f>
        <v/>
      </c>
      <c r="D196" s="2"/>
      <c r="E196" s="2" t="str">
        <f>IF(D196="","",VLOOKUP(D196,'Conversion Tables'!$A$2:$B$18,2,TRUE))</f>
        <v/>
      </c>
      <c r="F196" s="2"/>
      <c r="G196" s="2"/>
      <c r="H196" s="2" t="str">
        <f t="shared" si="12"/>
        <v/>
      </c>
      <c r="I196" s="2" t="str">
        <f t="shared" si="13"/>
        <v/>
      </c>
    </row>
    <row r="197" spans="1:9">
      <c r="A197" s="2"/>
      <c r="B197" s="2"/>
      <c r="C197" s="2" t="str">
        <f>IF(B197="","",VLOOKUP(B197,'Conversion Tables'!$A$21:$B$37,2,TRUE))</f>
        <v/>
      </c>
      <c r="D197" s="2"/>
      <c r="E197" s="2" t="str">
        <f>IF(D197="","",VLOOKUP(D197,'Conversion Tables'!$A$2:$B$18,2,TRUE))</f>
        <v/>
      </c>
      <c r="F197" s="2"/>
      <c r="G197" s="2"/>
      <c r="H197" s="2" t="str">
        <f t="shared" si="12"/>
        <v/>
      </c>
      <c r="I197" s="2" t="str">
        <f t="shared" si="13"/>
        <v/>
      </c>
    </row>
    <row r="198" spans="1:9">
      <c r="A198" s="2"/>
      <c r="B198" s="2"/>
      <c r="C198" s="2" t="str">
        <f>IF(B198="","",VLOOKUP(B198,'Conversion Tables'!$A$21:$B$37,2,TRUE))</f>
        <v/>
      </c>
      <c r="D198" s="2"/>
      <c r="E198" s="2" t="str">
        <f>IF(D198="","",VLOOKUP(D198,'Conversion Tables'!$A$2:$B$18,2,TRUE))</f>
        <v/>
      </c>
      <c r="F198" s="2"/>
      <c r="G198" s="2"/>
      <c r="H198" s="2" t="str">
        <f t="shared" si="12"/>
        <v/>
      </c>
      <c r="I198" s="2" t="str">
        <f t="shared" si="13"/>
        <v/>
      </c>
    </row>
    <row r="199" spans="1:9">
      <c r="A199" s="2"/>
      <c r="B199" s="2"/>
      <c r="C199" s="2" t="str">
        <f>IF(B199="","",VLOOKUP(B199,'Conversion Tables'!$A$21:$B$37,2,TRUE))</f>
        <v/>
      </c>
      <c r="D199" s="2"/>
      <c r="E199" s="2" t="str">
        <f>IF(D199="","",VLOOKUP(D199,'Conversion Tables'!$A$2:$B$18,2,TRUE))</f>
        <v/>
      </c>
      <c r="F199" s="2"/>
      <c r="G199" s="2"/>
      <c r="H199" s="2" t="str">
        <f t="shared" si="12"/>
        <v/>
      </c>
      <c r="I199" s="2" t="str">
        <f t="shared" si="13"/>
        <v/>
      </c>
    </row>
    <row r="200" spans="1:9">
      <c r="A200" s="2"/>
      <c r="B200" s="2"/>
      <c r="C200" s="2" t="str">
        <f>IF(B200="","",VLOOKUP(B200,'Conversion Tables'!$A$21:$B$37,2,TRUE))</f>
        <v/>
      </c>
      <c r="D200" s="2"/>
      <c r="E200" s="2" t="str">
        <f>IF(D200="","",VLOOKUP(D200,'Conversion Tables'!$A$2:$B$18,2,TRUE))</f>
        <v/>
      </c>
      <c r="F200" s="2"/>
      <c r="G200" s="2"/>
      <c r="H200" s="2" t="str">
        <f t="shared" si="12"/>
        <v/>
      </c>
      <c r="I200" s="2" t="str">
        <f t="shared" si="13"/>
        <v/>
      </c>
    </row>
    <row r="201" spans="1:9">
      <c r="A201" s="2"/>
      <c r="B201" s="2"/>
      <c r="C201" s="2" t="str">
        <f>IF(B201="","",VLOOKUP(B201,'Conversion Tables'!$A$21:$B$37,2,TRUE))</f>
        <v/>
      </c>
      <c r="D201" s="2"/>
      <c r="E201" s="2" t="str">
        <f>IF(D201="","",VLOOKUP(D201,'Conversion Tables'!$A$2:$B$18,2,TRUE))</f>
        <v/>
      </c>
      <c r="F201" s="2"/>
      <c r="G201" s="2"/>
      <c r="H201" s="2" t="str">
        <f t="shared" si="12"/>
        <v/>
      </c>
      <c r="I201" s="2" t="str">
        <f t="shared" si="13"/>
        <v/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Conversion Tables</vt:lpstr>
      <vt:lpstr>IELTS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Mashhura</cp:lastModifiedBy>
  <dcterms:created xsi:type="dcterms:W3CDTF">2025-12-03T05:46:27Z</dcterms:created>
  <dcterms:modified xsi:type="dcterms:W3CDTF">2026-09-29T08:54:37Z</dcterms:modified>
</cp:coreProperties>
</file>